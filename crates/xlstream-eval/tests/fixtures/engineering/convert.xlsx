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<sst xmlns="http://schemas.openxmlformats.org/spreadsheetml/2006/main" count="19" uniqueCount="16">
  <si>
    <t xml:space="preserve">Number</t>
  </si>
  <si>
    <t xml:space="preserve">From</t>
  </si>
  <si>
    <t xml:space="preserve">To</t>
  </si>
  <si>
    <t xml:space="preserve">Result</t>
  </si>
  <si>
    <t xml:space="preserve">Extra</t>
  </si>
  <si>
    <t xml:space="preserve">lbm</t>
  </si>
  <si>
    <t xml:space="preserve">kg</t>
  </si>
  <si>
    <t xml:space="preserve">km</t>
  </si>
  <si>
    <t xml:space="preserve">mi</t>
  </si>
  <si>
    <t xml:space="preserve">F</t>
  </si>
  <si>
    <t xml:space="preserve">C</t>
  </si>
  <si>
    <t xml:space="preserve">byte</t>
  </si>
  <si>
    <t xml:space="preserve">kbyte</t>
  </si>
  <si>
    <t xml:space="preserve">m</t>
  </si>
  <si>
    <t xml:space="preserve">100</t>
  </si>
  <si>
    <t xml:space="preserve">Val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</si>
</sst>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5" hidden="false" customHeight="false" outlineLevel="0" collapsed="false">
      <c r="A2" s="0" t="n">
        <v>1</v>
      </c>
      <c r="B2" s="0" t="s">
        <v>5</v>
      </c>
      <c r="C2" s="0" t="s">
        <v>6</v>
      </c>
      <c r="D2" s="0" t="n">
        <f aca="false">CONVERT(A2, B2, C2)</f>
        <v>0.453592309748811</v>
      </c>
    </row>
    <row r="3" customFormat="false" ht="15" hidden="false" customHeight="false" outlineLevel="0" collapsed="false">
      <c r="A3" s="0" t="n">
        <v>100</v>
      </c>
      <c r="B3" s="0" t="s">
        <v>7</v>
      </c>
      <c r="C3" s="0" t="s">
        <v>8</v>
      </c>
      <c r="D3" s="0" t="n">
        <f aca="false">CONVERT(A3, B3, C3)</f>
        <v>62.1371192237334</v>
      </c>
    </row>
    <row r="4" customFormat="false" ht="15" hidden="false" customHeight="false" outlineLevel="0" collapsed="false">
      <c r="A4" s="0" t="n">
        <v>68</v>
      </c>
      <c r="B4" s="0" t="s">
        <v>9</v>
      </c>
      <c r="C4" s="0" t="s">
        <v>10</v>
      </c>
      <c r="D4" s="0" t="n">
        <f aca="false">CONVERT(A4, B4, C4)</f>
        <v>20</v>
      </c>
    </row>
    <row r="5" customFormat="false" ht="15" hidden="false" customHeight="false" outlineLevel="0" collapsed="false">
      <c r="A5" s="0" t="n">
        <v>0</v>
      </c>
      <c r="B5" s="0" t="s">
        <v>10</v>
      </c>
      <c r="C5" s="0" t="s">
        <v>9</v>
      </c>
      <c r="D5" s="0" t="n">
        <f aca="false">CONVERT(A5, B5, C5)</f>
        <v>32</v>
      </c>
    </row>
    <row r="6" customFormat="false" ht="15" hidden="false" customHeight="false" outlineLevel="0" collapsed="false">
      <c r="A6" s="0" t="n">
        <v>1024</v>
      </c>
      <c r="B6" s="0" t="s">
        <v>11</v>
      </c>
      <c r="C6" s="0" t="s">
        <v>12</v>
      </c>
      <c r="D6" s="0" t="n">
        <f aca="false">CONVERT(A6, B6, C6)</f>
        <v>1.024</v>
      </c>
    </row>
    <row r="7" customFormat="false" ht="15" hidden="false" customHeight="false" outlineLevel="0" collapsed="false">
      <c r="A7" s="0" t="n">
        <v>42</v>
      </c>
      <c r="B7" s="0" t="s">
        <v>13</v>
      </c>
      <c r="C7" s="0" t="s">
        <v>13</v>
      </c>
      <c r="D7" s="0" t="n">
        <f aca="false">CONVERT(A7, B7, C7)</f>
        <v>42</v>
      </c>
    </row>
    <row r="8" customFormat="false" ht="15" hidden="false" customHeight="false" outlineLevel="0" collapsed="false">
      <c r="D8" s="0" t="n">
        <f aca="false">CONVERT(100, "C", "F")</f>
        <v>212</v>
      </c>
    </row>
    <row r="9" customFormat="false" ht="15" hidden="false" customHeight="false" outlineLevel="0" collapsed="false">
      <c r="D9" s="0" t="n">
        <f aca="false">CONVERT(0, "C", "K")</f>
        <v>273.15</v>
      </c>
    </row>
    <row r="10" customFormat="false" ht="15" hidden="false" customHeight="false" outlineLevel="0" collapsed="false">
      <c r="D10" s="0" t="n">
        <f aca="false">CONVERT(0, "K", "C")</f>
        <v>-273.15</v>
      </c>
    </row>
    <row r="11" customFormat="false" ht="15" hidden="false" customHeight="false" outlineLevel="0" collapsed="false">
      <c r="D11" s="0" t="n">
        <f aca="false">CONVERT(-40, "C", "F")</f>
        <v>-40</v>
      </c>
    </row>
    <row r="12" customFormat="false" ht="15" hidden="false" customHeight="false" outlineLevel="0" collapsed="false">
      <c r="D12" s="0" t="n">
        <f aca="false">CONVERT(80, "Reau", "C")</f>
        <v>100</v>
      </c>
    </row>
    <row r="13" customFormat="false" ht="15" hidden="false" customHeight="false" outlineLevel="0" collapsed="false">
      <c r="D13" s="0" t="n">
        <f aca="false">CONVERT(1, "m", "km")</f>
        <v>0.001</v>
      </c>
    </row>
    <row r="14" customFormat="false" ht="15" hidden="false" customHeight="false" outlineLevel="0" collapsed="false">
      <c r="D14" s="0" t="n">
        <f aca="false">CONVERT(1, "km", "m")</f>
        <v>1000</v>
      </c>
    </row>
    <row r="15" customFormat="false" ht="15" hidden="false" customHeight="false" outlineLevel="0" collapsed="false">
      <c r="D15" s="0" t="n">
        <f aca="false">CONVERT(1, "kg", "g")</f>
        <v>1000</v>
      </c>
    </row>
    <row r="16" customFormat="false" ht="15" hidden="false" customHeight="false" outlineLevel="0" collapsed="false">
      <c r="D16" s="0" t="n">
        <f aca="false">CONVERT(1, "mg", "g")</f>
        <v>0.001</v>
      </c>
    </row>
    <row r="17" customFormat="false" ht="15" hidden="false" customHeight="false" outlineLevel="0" collapsed="false">
      <c r="D17" s="0" t="n">
        <f aca="false">CONVERT(1, "MW", "W")</f>
        <v>1000000</v>
      </c>
    </row>
    <row r="18" customFormat="false" ht="15" hidden="false" customHeight="false" outlineLevel="0" collapsed="false">
      <c r="D18" s="0" t="n">
        <f aca="false">CONVERT(1, "Mibyte", "byte")</f>
        <v>1048576</v>
      </c>
    </row>
    <row r="19" customFormat="false" ht="15" hidden="false" customHeight="false" outlineLevel="0" collapsed="false">
      <c r="D19" s="0" t="n">
        <f aca="false">CONVERT(1, "Gibit", "bit")</f>
        <v>1073741824</v>
      </c>
    </row>
    <row r="20" customFormat="false" ht="15" hidden="false" customHeight="false" outlineLevel="0" collapsed="false">
      <c r="D20" s="0" t="n">
        <f aca="false">CONVERT(1, "Nmi", "m")</f>
        <v>1852</v>
      </c>
    </row>
    <row r="21" customFormat="false" ht="15" hidden="false" customHeight="false" outlineLevel="0" collapsed="false">
      <c r="D21" s="0" t="n">
        <f aca="false">CONVERT(1, "in", "cm")</f>
        <v>2.54</v>
      </c>
    </row>
    <row r="22" customFormat="false" ht="15" hidden="false" customHeight="false" outlineLevel="0" collapsed="false">
      <c r="D22" s="0" t="n">
        <f aca="false">CONVERT(1, "yr", "day")</f>
        <v>365.25</v>
      </c>
    </row>
    <row r="23" customFormat="false" ht="15" hidden="false" customHeight="false" outlineLevel="0" collapsed="false">
      <c r="D23" s="0" t="n">
        <f aca="false">CONVERT(1, "T", "ga")</f>
        <v>10000</v>
      </c>
    </row>
    <row r="24" customFormat="false" ht="15" hidden="false" customHeight="false" outlineLevel="0" collapsed="false">
      <c r="D24" s="0" t="e">
        <f aca="false">CONVERT(E24, "m", "km")</f>
        <v>#N/A</v>
      </c>
      <c r="E24" s="0" t="e">
        <f aca="false">NA()</f>
        <v>#N/A</v>
      </c>
    </row>
    <row r="25" customFormat="false" ht="15" hidden="false" customHeight="false" outlineLevel="0" collapsed="false">
      <c r="D25" s="0" t="n">
        <f aca="false">CONVERT(E25, "km", "mi")</f>
        <v>62.1371192237334</v>
      </c>
      <c r="E25" s="0" t="s">
        <v>14</v>
      </c>
    </row>
    <row r="26" customFormat="false" ht="15" hidden="false" customHeight="false" outlineLevel="0" collapsed="false">
      <c r="D26" s="0" t="n">
        <f aca="false">CONVERT(1, "gal", "l")</f>
        <v>3.785411784</v>
      </c>
    </row>
    <row r="27" customFormat="false" ht="15" hidden="false" customHeight="false" outlineLevel="0" collapsed="false">
      <c r="D27" s="0" t="n">
        <f aca="false">CONVERT(1, "ha", "ar")</f>
        <v>100</v>
      </c>
    </row>
    <row r="28" customFormat="false" ht="15" hidden="false" customHeight="false" outlineLevel="0" collapsed="false">
      <c r="D28" s="0" t="n">
        <f aca="false">CONVERT(1, "mph", "m/s")</f>
        <v>0.44704</v>
      </c>
    </row>
    <row r="29" customFormat="false" ht="15" hidden="false" customHeight="false" outlineLevel="0" collapsed="false">
      <c r="D29" s="0" t="n">
        <f aca="false">CONVERT(1, "byte", "bit")</f>
        <v>8</v>
      </c>
    </row>
    <row r="30" customFormat="false" ht="15" hidden="false" customHeight="false" outlineLevel="0" collapsed="false">
      <c r="D30" s="0" t="n">
        <f aca="false">CONVERT(1, "day", "hr")</f>
        <v>24</v>
      </c>
    </row>
    <row r="31" customFormat="false" ht="15" hidden="false" customHeight="false" outlineLevel="0" collapsed="false">
      <c r="D31" s="0" t="n">
        <f aca="false">CONVERT(Sheet2!A2, "m", "ft")</f>
        <v>3.28083989501312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15</v>
      </c>
    </row>
    <row r="2" customFormat="false" ht="15" hidden="false" customHeight="false" outlineLevel="0" collapsed="false">
      <c r="A2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2026-05-14T00:27:10Z</dcterms:created>
  <dc:creator>openpyxl</dc:creator>
  <dc:description/>
  <dc:language>en-GB</dc:language>
  <cp:lastModifiedBy/>
  <dcterms:modified xsi:type="dcterms:W3CDTF">2026-05-14T00:27:10Z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