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<sst xmlns="http://schemas.openxmlformats.org/spreadsheetml/2006/main" count="5" uniqueCount="5">
  <si>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Number</t>
  </si>
  <si>
    <t xml:space="preserve">Radix</t>
  </si>
  <si>
    <t xml:space="preserve">MinLen</t>
  </si>
  <si>
    <t xml:space="preserve">Result</t>
  </si>
  <si>
    <t xml:space="preserve">XNum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</si>
</sst>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255</v>
      </c>
      <c r="B2" s="0" t="n">
        <v>16</v>
      </c>
      <c r="D2" s="0" t="str">
        <f aca="false">_xlfn.BASE(A2,B2)</f>
        <v>FF</v>
      </c>
    </row>
    <row r="3" customFormat="false" ht="15" hidden="false" customHeight="false" outlineLevel="0" collapsed="false">
      <c r="A3" s="0" t="n">
        <v>10</v>
      </c>
      <c r="B3" s="0" t="n">
        <v>2</v>
      </c>
      <c r="D3" s="0" t="str">
        <f aca="false">_xlfn.BASE(A3,B3)</f>
        <v>1010</v>
      </c>
    </row>
    <row r="4" customFormat="false" ht="15" hidden="false" customHeight="false" outlineLevel="0" collapsed="false">
      <c r="A4" s="0" t="n">
        <v>100</v>
      </c>
      <c r="B4" s="0" t="n">
        <v>8</v>
      </c>
      <c r="D4" s="0" t="str">
        <f aca="false">_xlfn.BASE(A4,B4)</f>
        <v>144</v>
      </c>
    </row>
    <row r="5" customFormat="false" ht="15" hidden="false" customHeight="false" outlineLevel="0" collapsed="false">
      <c r="A5" s="0" t="n">
        <v>0</v>
      </c>
      <c r="B5" s="0" t="n">
        <v>16</v>
      </c>
      <c r="D5" s="0" t="str">
        <f aca="false">_xlfn.BASE(A5,B5)</f>
        <v>0</v>
      </c>
    </row>
    <row r="6" customFormat="false" ht="15" hidden="false" customHeight="false" outlineLevel="0" collapsed="false">
      <c r="A6" s="0" t="n">
        <v>35</v>
      </c>
      <c r="B6" s="0" t="n">
        <v>36</v>
      </c>
      <c r="D6" s="0" t="str">
        <f aca="false">_xlfn.BASE(A6,B6)</f>
        <v>Z</v>
      </c>
    </row>
    <row r="7" customFormat="false" ht="15" hidden="false" customHeight="false" outlineLevel="0" collapsed="false">
      <c r="A7" s="0" t="n">
        <v>1295</v>
      </c>
      <c r="B7" s="0" t="n">
        <v>36</v>
      </c>
      <c r="D7" s="0" t="str">
        <f aca="false">_xlfn.BASE(A7,B7)</f>
        <v>ZZ</v>
      </c>
    </row>
    <row r="8" customFormat="false" ht="15" hidden="false" customHeight="false" outlineLevel="0" collapsed="false">
      <c r="A8" s="0" t="n">
        <v>7</v>
      </c>
      <c r="B8" s="0" t="n">
        <v>2</v>
      </c>
      <c r="D8" s="0" t="str">
        <f aca="false">_xlfn.BASE(A8,B8)</f>
        <v>111</v>
      </c>
    </row>
    <row r="9" customFormat="false" ht="15" hidden="false" customHeight="false" outlineLevel="0" collapsed="false">
      <c r="A9" s="0" t="n">
        <v>255</v>
      </c>
      <c r="B9" s="0" t="n">
        <v>16</v>
      </c>
      <c r="C9" s="0" t="n">
        <v>4</v>
      </c>
      <c r="D9" s="0" t="str">
        <f aca="false">_xlfn.BASE(A9,B9,C9)</f>
        <v>00FF</v>
      </c>
    </row>
    <row r="10" customFormat="false" ht="15" hidden="false" customHeight="false" outlineLevel="0" collapsed="false">
      <c r="A10" s="0" t="n">
        <v>7</v>
      </c>
      <c r="B10" s="0" t="n">
        <v>2</v>
      </c>
      <c r="C10" s="0" t="n">
        <v>8</v>
      </c>
      <c r="D10" s="0" t="str">
        <f aca="false">_xlfn.BASE(A10,B10,C10)</f>
        <v>00000111</v>
      </c>
    </row>
    <row r="11" customFormat="false" ht="15" hidden="false" customHeight="false" outlineLevel="0" collapsed="false">
      <c r="A11" s="0" t="n">
        <v>100</v>
      </c>
      <c r="B11" s="0" t="n">
        <v>8</v>
      </c>
      <c r="C11" s="0" t="n">
        <v>6</v>
      </c>
      <c r="D11" s="0" t="str">
        <f aca="false">_xlfn.BASE(A11,B11,C11)</f>
        <v>000144</v>
      </c>
    </row>
    <row r="12" customFormat="false" ht="15" hidden="false" customHeight="false" outlineLevel="0" collapsed="false">
      <c r="A12" s="0" t="n">
        <v>255</v>
      </c>
      <c r="B12" s="0" t="n">
        <v>16</v>
      </c>
      <c r="C12" s="0" t="n">
        <v>1</v>
      </c>
      <c r="D12" s="0" t="str">
        <f aca="false">_xlfn.BASE(A12,B12,C12)</f>
        <v>FF</v>
      </c>
    </row>
    <row r="13" customFormat="false" ht="15" hidden="false" customHeight="false" outlineLevel="0" collapsed="false">
      <c r="D13" s="0" t="str">
        <f aca="false">_xlfn.BASE(255,2)</f>
        <v>11111111</v>
      </c>
    </row>
    <row r="14" customFormat="false" ht="15" hidden="false" customHeight="false" outlineLevel="0" collapsed="false">
      <c r="D14" s="0" t="str">
        <f aca="false">_xlfn.BASE(255,8)</f>
        <v>377</v>
      </c>
    </row>
    <row r="15" customFormat="false" ht="15" hidden="false" customHeight="false" outlineLevel="0" collapsed="false">
      <c r="D15" s="0" t="str">
        <f aca="false">_xlfn.BASE(255,10)</f>
        <v>255</v>
      </c>
    </row>
    <row r="16" customFormat="false" ht="15" hidden="false" customHeight="false" outlineLevel="0" collapsed="false">
      <c r="D16" s="0" t="str">
        <f aca="false">_xlfn.BASE(255,36)</f>
        <v>73</v>
      </c>
    </row>
    <row r="17" customFormat="false" ht="15" hidden="false" customHeight="false" outlineLevel="0" collapsed="false">
      <c r="D17" s="0" t="str">
        <f aca="false">_xlfn.BASE(36,36)</f>
        <v>10</v>
      </c>
    </row>
    <row r="18" customFormat="false" ht="15" hidden="false" customHeight="false" outlineLevel="0" collapsed="false">
      <c r="D18" s="0" t="str">
        <f aca="false">_xlfn.BASE(4294967295,16)</f>
        <v>FFFFFFFF</v>
      </c>
    </row>
    <row r="19" customFormat="false" ht="15" hidden="false" customHeight="false" outlineLevel="0" collapsed="false">
      <c r="A19" s="0" t="n">
        <v>9007199254740991</v>
      </c>
      <c r="B19" s="0" t="n">
        <v>16</v>
      </c>
      <c r="D19" s="0" t="str">
        <f aca="false">_xlfn.BASE(A19,B19)</f>
        <v>1FFFFFFFFFFFFF</v>
      </c>
    </row>
    <row r="20" customFormat="false" ht="15" hidden="false" customHeight="false" outlineLevel="0" collapsed="false">
      <c r="A20" s="0" t="n">
        <v>-1</v>
      </c>
      <c r="B20" s="0" t="n">
        <v>16</v>
      </c>
      <c r="D20" s="0" t="e">
        <f aca="false">_xlfn.BASE(A20,B20)</f>
        <v>#VALUE!</v>
      </c>
    </row>
    <row r="21" customFormat="false" ht="15" hidden="false" customHeight="false" outlineLevel="0" collapsed="false">
      <c r="A21" s="0" t="n">
        <v>9007199254740990</v>
      </c>
      <c r="B21" s="0" t="n">
        <v>16</v>
      </c>
      <c r="D21" s="0" t="str">
        <f aca="false">_xlfn.BASE(A21,B21)</f>
        <v>20000000000000</v>
      </c>
    </row>
    <row r="22" customFormat="false" ht="15" hidden="false" customHeight="false" outlineLevel="0" collapsed="false">
      <c r="D22" s="0" t="e">
        <f aca="false">_xlfn.BASE(10,1)</f>
        <v>#VALUE!</v>
      </c>
    </row>
    <row r="23" customFormat="false" ht="15" hidden="false" customHeight="false" outlineLevel="0" collapsed="false">
      <c r="D23" s="0" t="e">
        <f aca="false">_xlfn.BASE(10,37)</f>
        <v>#VALUE!</v>
      </c>
    </row>
    <row r="24" customFormat="false" ht="15" hidden="false" customHeight="false" outlineLevel="0" collapsed="false">
      <c r="D24" s="0" t="str">
        <f aca="false">_xlfn.BASE(10,2,256)</f>
        <v>0000000000000000000000000000000000000000000000000000000000000000000000000000000000000000000000000000000000000000000000000000000000000000000000000000000000000000000000000000000000000000000000000000000000000000000000000000000000000000000000000000000000001010</v>
      </c>
    </row>
    <row r="25" customFormat="false" ht="15" hidden="false" customHeight="false" outlineLevel="0" collapsed="false">
      <c r="D25" s="0" t="str">
        <f aca="false">_xlfn.BASE(255.9,16)</f>
        <v>FF</v>
      </c>
    </row>
    <row r="26" customFormat="false" ht="15" hidden="false" customHeight="false" outlineLevel="0" collapsed="false">
      <c r="D26" s="0" t="str">
        <f aca="false">_xlfn.BASE(TRUE(),2)</f>
        <v>1</v>
      </c>
    </row>
    <row r="27" customFormat="false" ht="15" hidden="false" customHeight="false" outlineLevel="0" collapsed="false">
      <c r="D27" s="0" t="e">
        <f aca="false">_xlfn.BASE(NA(),16)</f>
        <v>#N/A</v>
      </c>
    </row>
    <row r="28" customFormat="false" ht="15" hidden="false" customHeight="false" outlineLevel="0" collapsed="false">
      <c r="D28" s="0" t="str">
        <f aca="false">IFERROR(_xlfn.BASE(-1,16),"no negatives")</f>
        <v>no negatives</v>
      </c>
    </row>
    <row r="29" customFormat="false" ht="15" hidden="false" customHeight="false" outlineLevel="0" collapsed="false">
      <c r="D29" s="0" t="str">
        <f aca="false">_xlfn.BASE(Sheet2!A2,16)</f>
        <v>2A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</row>
    <row r="2" customFormat="false" ht="15" hidden="false" customHeight="false" outlineLevel="0" collapsed="false">
      <c r="A2" s="0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2026-05-13T22:21:31Z</dcterms:created>
  <dc:creator>openpyxl</dc:creator>
  <dc:description/>
  <dc:language>en-GB</dc:language>
  <cp:lastModifiedBy/>
  <dcterms:modified xsi:type="dcterms:W3CDTF">2026-05-13T22:21:31Z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