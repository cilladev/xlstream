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<sst xmlns="http://schemas.openxmlformats.org/spreadsheetml/2006/main" count="20" uniqueCount="20">
  <si>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z</t>
  </si>
  <si>
    <t xml:space="preserve">Formula</t>
  </si>
  <si>
    <t xml:space="preserve">Description</t>
  </si>
  <si>
    <t xml:space="preserve">CDF z=0</t>
  </si>
  <si>
    <t xml:space="preserve">CDF z=1</t>
  </si>
  <si>
    <t xml:space="preserve">CDF z=-1</t>
  </si>
  <si>
    <t xml:space="preserve">CDF z=1.96</t>
  </si>
  <si>
    <t xml:space="preserve">CDF z=-1.96</t>
  </si>
  <si>
    <t xml:space="preserve">CDF z=3</t>
  </si>
  <si>
    <t xml:space="preserve">PDF z=0</t>
  </si>
  <si>
    <t xml:space="preserve">PDF z=1</t>
  </si>
  <si>
    <t xml:space="preserve">PDF z=-1</t>
  </si>
  <si>
    <t xml:space="preserve">INV median</t>
  </si>
  <si>
    <t xml:space="preserve">INV upper</t>
  </si>
  <si>
    <t xml:space="preserve">INV lower</t>
  </si>
  <si>
    <t xml:space="preserve">INV ~1</t>
  </si>
  <si>
    <t xml:space="preserve">INV far tail</t>
  </si>
  <si>
    <t xml:space="preserve">round-trip</t>
  </si>
  <si>
    <t xml:space="preserve">nested ROUND</t>
  </si>
  <si>
    <t xml:space="preserve">nested IF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</si>
</sst>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C1" s="0" t="s">
        <v>1</v>
      </c>
      <c r="D1" s="0" t="s">
        <v>2</v>
      </c>
    </row>
    <row r="2" customFormat="false" ht="15" hidden="false" customHeight="false" outlineLevel="0" collapsed="false">
      <c r="A2" s="0" t="n">
        <v>-3</v>
      </c>
      <c r="C2" s="0" t="n">
        <f aca="false">_xlfn.NORM.S.DIST(0,TRUE())</f>
        <v>0.5</v>
      </c>
      <c r="D2" s="0" t="s">
        <v>3</v>
      </c>
    </row>
    <row r="3" customFormat="false" ht="15" hidden="false" customHeight="false" outlineLevel="0" collapsed="false">
      <c r="A3" s="0" t="n">
        <v>-2</v>
      </c>
      <c r="C3" s="0" t="n">
        <f aca="false">_xlfn.NORM.S.DIST(1,TRUE())</f>
        <v>0.841344746068543</v>
      </c>
      <c r="D3" s="0" t="s">
        <v>4</v>
      </c>
    </row>
    <row r="4" customFormat="false" ht="15" hidden="false" customHeight="false" outlineLevel="0" collapsed="false">
      <c r="A4" s="0" t="n">
        <v>-1</v>
      </c>
      <c r="C4" s="0" t="n">
        <f aca="false">_xlfn.NORM.S.DIST(-1,TRUE())</f>
        <v>0.158655253931457</v>
      </c>
      <c r="D4" s="0" t="s">
        <v>5</v>
      </c>
    </row>
    <row r="5" customFormat="false" ht="15" hidden="false" customHeight="false" outlineLevel="0" collapsed="false">
      <c r="A5" s="0" t="n">
        <v>0</v>
      </c>
      <c r="C5" s="0" t="n">
        <f aca="false">_xlfn.NORM.S.DIST(1.96,TRUE())</f>
        <v>0.97500210485178</v>
      </c>
      <c r="D5" s="0" t="s">
        <v>6</v>
      </c>
    </row>
    <row r="6" customFormat="false" ht="15" hidden="false" customHeight="false" outlineLevel="0" collapsed="false">
      <c r="A6" s="0" t="n">
        <v>1</v>
      </c>
      <c r="C6" s="0" t="n">
        <f aca="false">_xlfn.NORM.S.DIST(-1.96,TRUE())</f>
        <v>0.0249978951482204</v>
      </c>
      <c r="D6" s="0" t="s">
        <v>7</v>
      </c>
    </row>
    <row r="7" customFormat="false" ht="15" hidden="false" customHeight="false" outlineLevel="0" collapsed="false">
      <c r="A7" s="0" t="n">
        <v>2</v>
      </c>
      <c r="C7" s="0" t="n">
        <f aca="false">_xlfn.NORM.S.DIST(3,TRUE())</f>
        <v>0.99865010196837</v>
      </c>
      <c r="D7" s="0" t="s">
        <v>8</v>
      </c>
    </row>
    <row r="8" customFormat="false" ht="15" hidden="false" customHeight="false" outlineLevel="0" collapsed="false">
      <c r="A8" s="0" t="n">
        <v>3</v>
      </c>
      <c r="C8" s="0" t="n">
        <f aca="false">_xlfn.NORM.S.DIST(0,FALSE())</f>
        <v>0.398942280401433</v>
      </c>
      <c r="D8" s="0" t="s">
        <v>9</v>
      </c>
    </row>
    <row r="9" customFormat="false" ht="15" hidden="false" customHeight="false" outlineLevel="0" collapsed="false">
      <c r="C9" s="0" t="n">
        <f aca="false">_xlfn.NORM.S.DIST(1,FALSE())</f>
        <v>0.241970724519143</v>
      </c>
      <c r="D9" s="0" t="s">
        <v>10</v>
      </c>
    </row>
    <row r="10" customFormat="false" ht="15" hidden="false" customHeight="false" outlineLevel="0" collapsed="false">
      <c r="C10" s="0" t="n">
        <f aca="false">_xlfn.NORM.S.DIST(-1,FALSE())</f>
        <v>0.241970724519143</v>
      </c>
      <c r="D10" s="0" t="s">
        <v>11</v>
      </c>
    </row>
    <row r="11" customFormat="false" ht="15" hidden="false" customHeight="false" outlineLevel="0" collapsed="false">
      <c r="C11" s="0" t="n">
        <f aca="false">_xlfn.NORM.S.INV(0.5)</f>
        <v>0</v>
      </c>
      <c r="D11" s="0" t="s">
        <v>12</v>
      </c>
    </row>
    <row r="12" customFormat="false" ht="15" hidden="false" customHeight="false" outlineLevel="0" collapsed="false">
      <c r="C12" s="0" t="n">
        <f aca="false">_xlfn.NORM.S.INV(0.975)</f>
        <v>1.95996398454005</v>
      </c>
      <c r="D12" s="0" t="s">
        <v>13</v>
      </c>
    </row>
    <row r="13" customFormat="false" ht="15" hidden="false" customHeight="false" outlineLevel="0" collapsed="false">
      <c r="C13" s="0" t="n">
        <f aca="false">_xlfn.NORM.S.INV(0.025)</f>
        <v>-1.95996398454005</v>
      </c>
      <c r="D13" s="0" t="s">
        <v>14</v>
      </c>
    </row>
    <row r="14" customFormat="false" ht="15" hidden="false" customHeight="false" outlineLevel="0" collapsed="false">
      <c r="C14" s="0" t="n">
        <f aca="false">_xlfn.NORM.S.INV(0.841345)</f>
        <v>1.00000104943105</v>
      </c>
      <c r="D14" s="0" t="s">
        <v>15</v>
      </c>
    </row>
    <row r="15" customFormat="false" ht="15" hidden="false" customHeight="false" outlineLevel="0" collapsed="false">
      <c r="C15" s="0" t="n">
        <f aca="false">_xlfn.NORM.S.INV(0.001)</f>
        <v>-3.09023230616781</v>
      </c>
      <c r="D15" s="0" t="s">
        <v>16</v>
      </c>
    </row>
    <row r="16" customFormat="false" ht="15" hidden="false" customHeight="false" outlineLevel="0" collapsed="false">
      <c r="C16" s="0" t="n">
        <f aca="false">_xlfn.NORM.S.INV(_xlfn.NORM.S.DIST(1.5,TRUE()))</f>
        <v>1.5</v>
      </c>
      <c r="D16" s="0" t="s">
        <v>17</v>
      </c>
    </row>
    <row r="17" customFormat="false" ht="15" hidden="false" customHeight="false" outlineLevel="0" collapsed="false">
      <c r="C17" s="0" t="n">
        <f aca="false">ROUND(_xlfn.NORM.S.DIST(0,TRUE()),1)</f>
        <v>0.5</v>
      </c>
      <c r="D17" s="0" t="s">
        <v>18</v>
      </c>
    </row>
    <row r="18" customFormat="false" ht="15" hidden="false" customHeight="false" outlineLevel="0" collapsed="false">
      <c r="C18" s="0" t="str">
        <f aca="false">IF(_xlfn.NORM.S.DIST(2,TRUE())&gt;0.95,"sig","ns")</f>
        <v>sig</v>
      </c>
      <c r="D18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2026-05-13T16:46:03Z</dcterms:created>
  <dc:creator>openpyxl</dc:creator>
  <dc:description/>
  <dc:language>en-GB</dc:language>
  <cp:lastModifiedBy/>
  <dcterms:modified xsi:type="dcterms:W3CDTF">2026-05-13T16:46:03Z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