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<sst xmlns="http://schemas.openxmlformats.org/spreadsheetml/2006/main" count="27" uniqueCount="27">
  <si>
    <t xml:space="preserve">T.DIST CDF: 0,10,T</t>
  </si>
  <si>
    <t xml:space="preserve">T.DIST CDF: 1,10,T</t>
  </si>
  <si>
    <t xml:space="preserve">T.DIST CDF: -1,10,T</t>
  </si>
  <si>
    <t xml:space="preserve">T.DIST CDF: 2,10,T</t>
  </si>
  <si>
    <t xml:space="preserve">T.DIST CDF: 1,1,T (Cauchy)</t>
  </si>
  <si>
    <t xml:space="preserve">T.DIST CDF: 1,30,T</t>
  </si>
  <si>
    <t xml:space="preserve">T.DIST PDF: 0,10,F</t>
  </si>
  <si>
    <t xml:space="preserve">T.DIST PDF: 1,10,F</t>
  </si>
  <si>
    <t xml:space="preserve">T.DIST.RT: 1,10</t>
  </si>
  <si>
    <t xml:space="preserve">T.DIST.RT: 2,10</t>
  </si>
  <si>
    <t xml:space="preserve">T.DIST.RT: 0,10</t>
  </si>
  <si>
    <t xml:space="preserve">T.DIST.2T: 1,10</t>
  </si>
  <si>
    <t xml:space="preserve">T.DIST.2T: 2,10</t>
  </si>
  <si>
    <t xml:space="preserve">T.DIST.2T: 0,10</t>
  </si>
  <si>
    <t xml:space="preserve">T.INV: 0.5,10</t>
  </si>
  <si>
    <t xml:space="preserve">T.INV: 0.95,10</t>
  </si>
  <si>
    <t xml:space="preserve">T.INV: 0.025,10</t>
  </si>
  <si>
    <t xml:space="preserve">T.INV: 0.975,10</t>
  </si>
  <si>
    <t xml:space="preserve">T.INV.2T: 0.05,10</t>
  </si>
  <si>
    <t xml:space="preserve">T.INV.2T: 0.10,10</t>
  </si>
  <si>
    <t xml:space="preserve">T.INV.2T: 1.0,10</t>
  </si>
  <si>
    <t xml:space="preserve">T.DIST large df: 1.96,1000,T</t>
  </si>
  <si>
    <t xml:space="preserve">T.INV large df: 0.975,1000</t>
  </si>
  <si>
    <t xml:space="preserve">Nested ROUND</t>
  </si>
  <si>
    <t xml:space="preserve">Nested IF</t>
  </si>
  <si>
    <t xml:space="preserve">T.DIST.2T negative x</t>
  </si>
  <si>
    <t xml:space="preserve">T.INV p=0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</si>
</sst>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e">
        <f aca="false">t.dist(0,10,TRUE())</f>
        <v>#NAME?</v>
      </c>
    </row>
    <row r="2" customFormat="false" ht="15" hidden="false" customHeight="false" outlineLevel="0" collapsed="false">
      <c r="A2" s="0" t="s">
        <v>1</v>
      </c>
      <c r="B2" s="0" t="e">
        <f aca="false">t.dist(1,10,TRUE())</f>
        <v>#NAME?</v>
      </c>
    </row>
    <row r="3" customFormat="false" ht="15" hidden="false" customHeight="false" outlineLevel="0" collapsed="false">
      <c r="A3" s="0" t="s">
        <v>2</v>
      </c>
      <c r="B3" s="0" t="e">
        <f aca="false">t.dist(-1,10,TRUE())</f>
        <v>#NAME?</v>
      </c>
    </row>
    <row r="4" customFormat="false" ht="15" hidden="false" customHeight="false" outlineLevel="0" collapsed="false">
      <c r="A4" s="0" t="s">
        <v>3</v>
      </c>
      <c r="B4" s="0" t="e">
        <f aca="false">t.dist(2,10,TRUE())</f>
        <v>#NAME?</v>
      </c>
    </row>
    <row r="5" customFormat="false" ht="15" hidden="false" customHeight="false" outlineLevel="0" collapsed="false">
      <c r="A5" s="0" t="s">
        <v>4</v>
      </c>
      <c r="B5" s="0" t="e">
        <f aca="false">t.dist(1,1,TRUE())</f>
        <v>#NAME?</v>
      </c>
    </row>
    <row r="6" customFormat="false" ht="15" hidden="false" customHeight="false" outlineLevel="0" collapsed="false">
      <c r="A6" s="0" t="s">
        <v>5</v>
      </c>
      <c r="B6" s="0" t="e">
        <f aca="false">t.dist(1,30,TRUE())</f>
        <v>#NAME?</v>
      </c>
    </row>
    <row r="7" customFormat="false" ht="15" hidden="false" customHeight="false" outlineLevel="0" collapsed="false">
      <c r="A7" s="0" t="s">
        <v>6</v>
      </c>
      <c r="B7" s="0" t="e">
        <f aca="false">t.dist(0,10,FALSE())</f>
        <v>#NAME?</v>
      </c>
    </row>
    <row r="8" customFormat="false" ht="15" hidden="false" customHeight="false" outlineLevel="0" collapsed="false">
      <c r="A8" s="0" t="s">
        <v>7</v>
      </c>
      <c r="B8" s="0" t="e">
        <f aca="false">t.dist(1,10,FALSE())</f>
        <v>#NAME?</v>
      </c>
    </row>
    <row r="9" customFormat="false" ht="15" hidden="false" customHeight="false" outlineLevel="0" collapsed="false">
      <c r="A9" s="0" t="s">
        <v>8</v>
      </c>
      <c r="B9" s="0" t="e">
        <f aca="false">t.dist.rt(1,10)</f>
        <v>#NAME?</v>
      </c>
    </row>
    <row r="10" customFormat="false" ht="15" hidden="false" customHeight="false" outlineLevel="0" collapsed="false">
      <c r="A10" s="0" t="s">
        <v>9</v>
      </c>
      <c r="B10" s="0" t="e">
        <f aca="false">t.dist.rt(2,10)</f>
        <v>#NAME?</v>
      </c>
    </row>
    <row r="11" customFormat="false" ht="15" hidden="false" customHeight="false" outlineLevel="0" collapsed="false">
      <c r="A11" s="0" t="s">
        <v>10</v>
      </c>
      <c r="B11" s="0" t="e">
        <f aca="false">t.dist.rt(0,10)</f>
        <v>#NAME?</v>
      </c>
    </row>
    <row r="12" customFormat="false" ht="15" hidden="false" customHeight="false" outlineLevel="0" collapsed="false">
      <c r="A12" s="0" t="s">
        <v>11</v>
      </c>
      <c r="B12" s="0" t="e">
        <f aca="false">t.dist.2t(1,10)</f>
        <v>#NAME?</v>
      </c>
    </row>
    <row r="13" customFormat="false" ht="15" hidden="false" customHeight="false" outlineLevel="0" collapsed="false">
      <c r="A13" s="0" t="s">
        <v>12</v>
      </c>
      <c r="B13" s="0" t="e">
        <f aca="false">t.dist.2t(2,10)</f>
        <v>#NAME?</v>
      </c>
    </row>
    <row r="14" customFormat="false" ht="15" hidden="false" customHeight="false" outlineLevel="0" collapsed="false">
      <c r="A14" s="0" t="s">
        <v>13</v>
      </c>
      <c r="B14" s="0" t="e">
        <f aca="false">t.dist.2t(0,10)</f>
        <v>#NAME?</v>
      </c>
    </row>
    <row r="15" customFormat="false" ht="15" hidden="false" customHeight="false" outlineLevel="0" collapsed="false">
      <c r="A15" s="0" t="s">
        <v>14</v>
      </c>
      <c r="B15" s="0" t="e">
        <f aca="false">t.inv(0.5,10)</f>
        <v>#NAME?</v>
      </c>
    </row>
    <row r="16" customFormat="false" ht="15" hidden="false" customHeight="false" outlineLevel="0" collapsed="false">
      <c r="A16" s="0" t="s">
        <v>15</v>
      </c>
      <c r="B16" s="0" t="e">
        <f aca="false">t.inv(0.95,10)</f>
        <v>#NAME?</v>
      </c>
    </row>
    <row r="17" customFormat="false" ht="15" hidden="false" customHeight="false" outlineLevel="0" collapsed="false">
      <c r="A17" s="0" t="s">
        <v>16</v>
      </c>
      <c r="B17" s="0" t="e">
        <f aca="false">t.inv(0.025,10)</f>
        <v>#NAME?</v>
      </c>
    </row>
    <row r="18" customFormat="false" ht="15" hidden="false" customHeight="false" outlineLevel="0" collapsed="false">
      <c r="A18" s="0" t="s">
        <v>17</v>
      </c>
      <c r="B18" s="0" t="e">
        <f aca="false">t.inv(0.975,10)</f>
        <v>#NAME?</v>
      </c>
    </row>
    <row r="19" customFormat="false" ht="15" hidden="false" customHeight="false" outlineLevel="0" collapsed="false">
      <c r="A19" s="0" t="s">
        <v>18</v>
      </c>
      <c r="B19" s="0" t="e">
        <f aca="false">t.inv.2t(0.05,10)</f>
        <v>#NAME?</v>
      </c>
    </row>
    <row r="20" customFormat="false" ht="15" hidden="false" customHeight="false" outlineLevel="0" collapsed="false">
      <c r="A20" s="0" t="s">
        <v>19</v>
      </c>
      <c r="B20" s="0" t="e">
        <f aca="false">t.inv.2t(0.1,10)</f>
        <v>#NAME?</v>
      </c>
    </row>
    <row r="21" customFormat="false" ht="15" hidden="false" customHeight="false" outlineLevel="0" collapsed="false">
      <c r="A21" s="0" t="s">
        <v>20</v>
      </c>
      <c r="B21" s="0" t="e">
        <f aca="false">t.inv.2t(1,10)</f>
        <v>#NAME?</v>
      </c>
    </row>
    <row r="22" customFormat="false" ht="15" hidden="false" customHeight="false" outlineLevel="0" collapsed="false">
      <c r="A22" s="0" t="s">
        <v>21</v>
      </c>
      <c r="B22" s="0" t="e">
        <f aca="false">t.dist(1.96,1000,TRUE())</f>
        <v>#NAME?</v>
      </c>
    </row>
    <row r="23" customFormat="false" ht="15" hidden="false" customHeight="false" outlineLevel="0" collapsed="false">
      <c r="A23" s="0" t="s">
        <v>22</v>
      </c>
      <c r="B23" s="0" t="e">
        <f aca="false">t.inv(0.975,1000)</f>
        <v>#NAME?</v>
      </c>
    </row>
    <row r="24" customFormat="false" ht="15" hidden="false" customHeight="false" outlineLevel="0" collapsed="false">
      <c r="A24" s="0" t="s">
        <v>23</v>
      </c>
      <c r="B24" s="0" t="e">
        <f aca="false">ROUND(t.dist(0,10,TRUE()),1)</f>
        <v>#NAME?</v>
      </c>
    </row>
    <row r="25" customFormat="false" ht="15" hidden="false" customHeight="false" outlineLevel="0" collapsed="false">
      <c r="A25" s="0" t="s">
        <v>24</v>
      </c>
      <c r="B25" s="0" t="e">
        <f aca="false">IF(t.dist.2t(2.5,10)&lt;0.05,"sig","ns")</f>
        <v>#NAME?</v>
      </c>
    </row>
    <row r="26" customFormat="false" ht="15" hidden="false" customHeight="false" outlineLevel="0" collapsed="false">
      <c r="A26" s="0" t="s">
        <v>25</v>
      </c>
      <c r="B26" s="0" t="e">
        <f aca="false">t.dist.2t(-1,10)</f>
        <v>#NAME?</v>
      </c>
    </row>
    <row r="27" customFormat="false" ht="15" hidden="false" customHeight="false" outlineLevel="0" collapsed="false">
      <c r="A27" s="0" t="s">
        <v>26</v>
      </c>
      <c r="B27" s="0" t="e">
        <f aca="false">t.inv(0,10)</f>
        <v>#NAME?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2026-05-13T15:06:50Z</dcterms:created>
  <dc:creator>openpyxl</dc:creator>
  <dc:description/>
  <dc:language>en-GB</dc:language>
  <cp:lastModifiedBy/>
  <dcterms:modified xsi:type="dcterms:W3CDTF">2026-05-13T15:06:50Z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