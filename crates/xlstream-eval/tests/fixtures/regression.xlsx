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ookup1" sheetId="1" r:id="rId1"/>
    <sheet name="HLookup" sheetId="2" r:id="rId2"/>
    <sheet name="AggSource" sheetId="3" r:id="rId3"/>
    <sheet name="Holidays" sheetId="4" r:id="rId4"/>
    <sheet name="Data" sheetId="5" r:id="rId5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<sst xmlns="http://schemas.openxmlformats.org/spreadsheetml/2006/main" count="183" uniqueCount="154">
  <si>
    <t>EMEA</t>
  </si>
  <si>
    <t>Europe</t>
  </si>
  <si>
    <t>APAC</t>
  </si>
  <si>
    <t>Asia</t>
  </si>
  <si>
    <t>AMER</t>
  </si>
  <si>
    <t>Americas</t>
  </si>
  <si>
    <t>LATAM</t>
  </si>
  <si>
    <t>LatAm</t>
  </si>
  <si>
    <t>MEA</t>
  </si>
  <si>
    <t>MidEast</t>
  </si>
  <si>
    <t>Q1</t>
  </si>
  <si>
    <t>Q2</t>
  </si>
  <si>
    <t>Q3</t>
  </si>
  <si>
    <t>Q4</t>
  </si>
  <si>
    <t>Sales</t>
  </si>
  <si>
    <t>Marketing</t>
  </si>
  <si>
    <t>id</t>
  </si>
  <si>
    <t>val</t>
  </si>
  <si>
    <t>amt</t>
  </si>
  <si>
    <t>flag</t>
  </si>
  <si>
    <t>region</t>
  </si>
  <si>
    <t>text</t>
  </si>
  <si>
    <t>date</t>
  </si>
  <si>
    <t>mixed</t>
  </si>
  <si>
    <t>op_add</t>
  </si>
  <si>
    <t>op_sub</t>
  </si>
  <si>
    <t>op_mul</t>
  </si>
  <si>
    <t>op_div</t>
  </si>
  <si>
    <t>op_exp</t>
  </si>
  <si>
    <t>op_cat</t>
  </si>
  <si>
    <t>op_pct</t>
  </si>
  <si>
    <t>op_eq</t>
  </si>
  <si>
    <t>op_neq</t>
  </si>
  <si>
    <t>op_lt</t>
  </si>
  <si>
    <t>op_gt</t>
  </si>
  <si>
    <t>op_lte</t>
  </si>
  <si>
    <t>op_gte</t>
  </si>
  <si>
    <t>op_neg</t>
  </si>
  <si>
    <t>op_pos</t>
  </si>
  <si>
    <t>fn_true</t>
  </si>
  <si>
    <t>fn_false</t>
  </si>
  <si>
    <t>fn_if</t>
  </si>
  <si>
    <t>fn_ifs</t>
  </si>
  <si>
    <t>fn_switch</t>
  </si>
  <si>
    <t>fn_iferror</t>
  </si>
  <si>
    <t>fn_ifna</t>
  </si>
  <si>
    <t>fn_and</t>
  </si>
  <si>
    <t>fn_or</t>
  </si>
  <si>
    <t>fn_not</t>
  </si>
  <si>
    <t>fn_xor</t>
  </si>
  <si>
    <t>agg_sum</t>
  </si>
  <si>
    <t>agg_sumif</t>
  </si>
  <si>
    <t>agg_sumifs</t>
  </si>
  <si>
    <t>agg_product</t>
  </si>
  <si>
    <t>agg_count</t>
  </si>
  <si>
    <t>agg_counta</t>
  </si>
  <si>
    <t>agg_cntblk</t>
  </si>
  <si>
    <t>agg_countif</t>
  </si>
  <si>
    <t>agg_cntifs</t>
  </si>
  <si>
    <t>agg_avg</t>
  </si>
  <si>
    <t>agg_avgif</t>
  </si>
  <si>
    <t>agg_avgifs</t>
  </si>
  <si>
    <t>agg_min</t>
  </si>
  <si>
    <t>agg_max</t>
  </si>
  <si>
    <t>agg_median</t>
  </si>
  <si>
    <t>agg_minifs</t>
  </si>
  <si>
    <t>agg_maxifs</t>
  </si>
  <si>
    <t>lk_vlookup</t>
  </si>
  <si>
    <t>lk_hlookup</t>
  </si>
  <si>
    <t>lk_xlookup</t>
  </si>
  <si>
    <t>lk_match</t>
  </si>
  <si>
    <t>lk_xmatch</t>
  </si>
  <si>
    <t>lk_idx_match</t>
  </si>
  <si>
    <t>lk_choose</t>
  </si>
  <si>
    <t>tx_left</t>
  </si>
  <si>
    <t>tx_right</t>
  </si>
  <si>
    <t>tx_mid</t>
  </si>
  <si>
    <t>tx_len</t>
  </si>
  <si>
    <t>tx_upper</t>
  </si>
  <si>
    <t>tx_lower</t>
  </si>
  <si>
    <t>tx_proper</t>
  </si>
  <si>
    <t>tx_trim</t>
  </si>
  <si>
    <t>tx_clean</t>
  </si>
  <si>
    <t>tx_concat</t>
  </si>
  <si>
    <t>tx_concat2</t>
  </si>
  <si>
    <t>tx_textjoin</t>
  </si>
  <si>
    <t>tx_find</t>
  </si>
  <si>
    <t>tx_search</t>
  </si>
  <si>
    <t>tx_subst</t>
  </si>
  <si>
    <t>tx_replace</t>
  </si>
  <si>
    <t>tx_text</t>
  </si>
  <si>
    <t>tx_value</t>
  </si>
  <si>
    <t>tx_exact</t>
  </si>
  <si>
    <t>m_round</t>
  </si>
  <si>
    <t>m_roundup</t>
  </si>
  <si>
    <t>m_rounddn</t>
  </si>
  <si>
    <t>m_int</t>
  </si>
  <si>
    <t>m_mod</t>
  </si>
  <si>
    <t>m_abs</t>
  </si>
  <si>
    <t>m_sign</t>
  </si>
  <si>
    <t>m_sqrt</t>
  </si>
  <si>
    <t>m_power</t>
  </si>
  <si>
    <t>m_ceiling</t>
  </si>
  <si>
    <t>m_floor</t>
  </si>
  <si>
    <t>m_ln</t>
  </si>
  <si>
    <t>m_log</t>
  </si>
  <si>
    <t>m_log10</t>
  </si>
  <si>
    <t>m_exp</t>
  </si>
  <si>
    <t>m_sin</t>
  </si>
  <si>
    <t>m_cos</t>
  </si>
  <si>
    <t>m_tan</t>
  </si>
  <si>
    <t>m_asin</t>
  </si>
  <si>
    <t>m_acos</t>
  </si>
  <si>
    <t>m_atan</t>
  </si>
  <si>
    <t>m_atan2</t>
  </si>
  <si>
    <t>m_pi</t>
  </si>
  <si>
    <t>dt_today</t>
  </si>
  <si>
    <t>dt_now</t>
  </si>
  <si>
    <t>dt_date</t>
  </si>
  <si>
    <t>dt_year</t>
  </si>
  <si>
    <t>dt_month</t>
  </si>
  <si>
    <t>dt_day</t>
  </si>
  <si>
    <t>dt_weekday</t>
  </si>
  <si>
    <t>dt_edate</t>
  </si>
  <si>
    <t>dt_eomonth</t>
  </si>
  <si>
    <t>dt_datedif</t>
  </si>
  <si>
    <t>dt_netdays</t>
  </si>
  <si>
    <t>dt_workday</t>
  </si>
  <si>
    <t>inf_isblank</t>
  </si>
  <si>
    <t>inf_isnum</t>
  </si>
  <si>
    <t>inf_istext</t>
  </si>
  <si>
    <t>inf_islog</t>
  </si>
  <si>
    <t>inf_isnontx</t>
  </si>
  <si>
    <t>inf_iserr</t>
  </si>
  <si>
    <t>inf_isna</t>
  </si>
  <si>
    <t>inf_isref</t>
  </si>
  <si>
    <t>inf_na</t>
  </si>
  <si>
    <t>inf_type</t>
  </si>
  <si>
    <t>fin_pmt</t>
  </si>
  <si>
    <t>fin_pv</t>
  </si>
  <si>
    <t>fin_fv</t>
  </si>
  <si>
    <t>fin_npv</t>
  </si>
  <si>
    <t>fin_rate</t>
  </si>
  <si>
    <t>hello</t>
  </si>
  <si>
    <t>WORLD</t>
  </si>
  <si>
    <t xml:space="preserve">  spaces  here  </t>
  </si>
  <si>
    <t>abc</t>
  </si>
  <si>
    <t>short</t>
  </si>
  <si>
    <t>test</t>
  </si>
  <si>
    <t>ProPer Case</t>
  </si>
  <si>
    <t>num123</t>
  </si>
  <si>
    <t>error</t>
  </si>
  <si>
    <t>foo bar</t>
  </si>
  <si>
    <t>x</t>
  </si>
</sst>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5"/>
  <sheetViews>
    <sheetView tabSelected="1" workbookViewId="0"/>
  </sheetViews>
  <sheetFormatPr defaultRowHeight="15"/>
  <sheetData>
    <row r="1" spans="1:3">
      <c r="A1" t="s">
        <v>0</v>
      </c>
      <c r="B1" t="s">
        <v>1</v>
      </c>
      <c r="C1">
        <v>100.0</v>
      </c>
    </row>
    <row r="2" spans="1:3">
      <c r="A2" t="s">
        <v>2</v>
      </c>
      <c r="B2" t="s">
        <v>3</v>
      </c>
      <c r="C2">
        <v>200.0</v>
      </c>
    </row>
    <row r="3" spans="1:3">
      <c r="A3" t="s">
        <v>4</v>
      </c>
      <c r="B3" t="s">
        <v>5</v>
      </c>
      <c r="C3">
        <v>300.0</v>
      </c>
    </row>
    <row r="4" spans="1:3">
      <c r="A4" t="s">
        <v>6</v>
      </c>
      <c r="B4" t="s">
        <v>7</v>
      </c>
      <c r="C4">
        <v>50.0</v>
      </c>
    </row>
    <row r="5" spans="1:3">
      <c r="A5" t="s">
        <v>8</v>
      </c>
      <c r="B5" t="s">
        <v>9</v>
      </c>
      <c r="C5">
        <v>75.0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3"/>
  <sheetViews>
    <sheetView workbookViewId="0"/>
  </sheetViews>
  <sheetFormatPr defaultRowHeight="15"/>
  <sheetData>
    <row r="1" spans="1:4">
      <c r="A1" t="s">
        <v>10</v>
      </c>
      <c r="B1" t="s">
        <v>11</v>
      </c>
      <c r="C1" t="s">
        <v>12</v>
      </c>
      <c r="D1" t="s">
        <v>13</v>
      </c>
    </row>
    <row r="2" spans="1:4">
      <c r="A2">
        <v>100.0</v>
      </c>
      <c r="B2">
        <v>200.0</v>
      </c>
      <c r="C2">
        <v>300.0</v>
      </c>
      <c r="D2">
        <v>400.0</v>
      </c>
    </row>
    <row r="3" spans="1:4">
      <c r="A3">
        <v>10.0</v>
      </c>
      <c r="B3">
        <v>20.0</v>
      </c>
      <c r="C3">
        <v>30.0</v>
      </c>
      <c r="D3">
        <v>40.0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10"/>
  <sheetViews>
    <sheetView workbookViewId="0"/>
  </sheetViews>
  <sheetFormatPr defaultRowHeight="15"/>
  <sheetData>
    <row r="1" spans="1:3">
      <c r="A1" t="s">
        <v>0</v>
      </c>
      <c r="B1">
        <v>500.0</v>
      </c>
      <c r="C1" t="s">
        <v>14</v>
      </c>
    </row>
    <row r="2" spans="1:3">
      <c r="A2" t="s">
        <v>2</v>
      </c>
      <c r="B2">
        <v>300.0</v>
      </c>
      <c r="C2" t="s">
        <v>15</v>
      </c>
    </row>
    <row r="3" spans="1:3">
      <c r="A3" t="s">
        <v>4</v>
      </c>
      <c r="B3">
        <v>700.0</v>
      </c>
      <c r="C3" t="s">
        <v>14</v>
      </c>
    </row>
    <row r="4" spans="1:3">
      <c r="A4" t="s">
        <v>0</v>
      </c>
      <c r="B4">
        <v>200.0</v>
      </c>
      <c r="C4" t="s">
        <v>15</v>
      </c>
    </row>
    <row r="5" spans="1:3">
      <c r="A5" t="s">
        <v>2</v>
      </c>
      <c r="B5">
        <v>400.0</v>
      </c>
      <c r="C5" t="s">
        <v>14</v>
      </c>
    </row>
    <row r="6" spans="1:3">
      <c r="A6" t="s">
        <v>0</v>
      </c>
      <c r="B6">
        <v>600.0</v>
      </c>
      <c r="C6" t="s">
        <v>14</v>
      </c>
    </row>
    <row r="7" spans="1:3">
      <c r="A7" t="s">
        <v>4</v>
      </c>
      <c r="B7">
        <v>100.0</v>
      </c>
      <c r="C7" t="s">
        <v>15</v>
      </c>
    </row>
    <row r="8" spans="1:3">
      <c r="A8" t="s">
        <v>2</v>
      </c>
      <c r="B8">
        <v>800.0</v>
      </c>
      <c r="C8" t="s">
        <v>14</v>
      </c>
    </row>
    <row r="9" spans="1:3">
      <c r="A9" t="s">
        <v>0</v>
      </c>
      <c r="B9">
        <v>350.0</v>
      </c>
      <c r="C9" t="s">
        <v>15</v>
      </c>
    </row>
    <row r="10" spans="1:3">
      <c r="A10" t="s">
        <v>4</v>
      </c>
      <c r="B10">
        <v>450.0</v>
      </c>
      <c r="C10" t="s">
        <v>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3"/>
  <sheetViews>
    <sheetView workbookViewId="0"/>
  </sheetViews>
  <sheetFormatPr defaultRowHeight="15"/>
  <sheetData>
    <row r="1" spans="1:1">
      <c r="A1" s="1">
        <v>46023.0</v>
      </c>
    </row>
    <row r="2" spans="1:1">
      <c r="A2" s="1">
        <v>46054.0</v>
      </c>
    </row>
    <row r="3" spans="1:1">
      <c r="A3" s="1">
        <v>46388.0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W11"/>
  <sheetViews>
    <sheetView workbookViewId="0"/>
  </sheetViews>
  <sheetFormatPr defaultRowHeight="15"/>
  <sheetData>
    <row r="1" spans="1:127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B1" t="s">
        <v>43</v>
      </c>
      <c r="AC1" t="s">
        <v>44</v>
      </c>
      <c r="AD1" t="s">
        <v>45</v>
      </c>
      <c r="AE1" t="s">
        <v>46</v>
      </c>
      <c r="AF1" t="s">
        <v>47</v>
      </c>
      <c r="AG1" t="s">
        <v>48</v>
      </c>
      <c r="AH1" t="s">
        <v>49</v>
      </c>
      <c r="AI1" t="s">
        <v>50</v>
      </c>
      <c r="AJ1" t="s">
        <v>51</v>
      </c>
      <c r="AK1" t="s">
        <v>52</v>
      </c>
      <c r="AL1" t="s">
        <v>53</v>
      </c>
      <c r="AM1" t="s">
        <v>54</v>
      </c>
      <c r="AN1" t="s">
        <v>55</v>
      </c>
      <c r="AO1" t="s">
        <v>56</v>
      </c>
      <c r="AP1" t="s">
        <v>57</v>
      </c>
      <c r="AQ1" t="s">
        <v>58</v>
      </c>
      <c r="AR1" t="s">
        <v>59</v>
      </c>
      <c r="AS1" t="s">
        <v>60</v>
      </c>
      <c r="AT1" t="s">
        <v>61</v>
      </c>
      <c r="AU1" t="s">
        <v>62</v>
      </c>
      <c r="AV1" t="s">
        <v>63</v>
      </c>
      <c r="AW1" t="s">
        <v>64</v>
      </c>
      <c r="AX1" t="s">
        <v>65</v>
      </c>
      <c r="AY1" t="s">
        <v>66</v>
      </c>
      <c r="AZ1" t="s">
        <v>67</v>
      </c>
      <c r="BA1" t="s">
        <v>68</v>
      </c>
      <c r="BB1" t="s">
        <v>69</v>
      </c>
      <c r="BC1" t="s">
        <v>70</v>
      </c>
      <c r="BD1" t="s">
        <v>71</v>
      </c>
      <c r="BE1" t="s">
        <v>72</v>
      </c>
      <c r="BF1" t="s">
        <v>73</v>
      </c>
      <c r="BG1" t="s">
        <v>74</v>
      </c>
      <c r="BH1" t="s">
        <v>75</v>
      </c>
      <c r="BI1" t="s">
        <v>76</v>
      </c>
      <c r="BJ1" t="s">
        <v>77</v>
      </c>
      <c r="BK1" t="s">
        <v>78</v>
      </c>
      <c r="BL1" t="s">
        <v>79</v>
      </c>
      <c r="BM1" t="s">
        <v>80</v>
      </c>
      <c r="BN1" t="s">
        <v>81</v>
      </c>
      <c r="BO1" t="s">
        <v>82</v>
      </c>
      <c r="BP1" t="s">
        <v>83</v>
      </c>
      <c r="BQ1" t="s">
        <v>84</v>
      </c>
      <c r="BR1" t="s">
        <v>85</v>
      </c>
      <c r="BS1" t="s">
        <v>86</v>
      </c>
      <c r="BT1" t="s">
        <v>87</v>
      </c>
      <c r="BU1" t="s">
        <v>88</v>
      </c>
      <c r="BV1" t="s">
        <v>89</v>
      </c>
      <c r="BW1" t="s">
        <v>90</v>
      </c>
      <c r="BX1" t="s">
        <v>91</v>
      </c>
      <c r="BY1" t="s">
        <v>92</v>
      </c>
      <c r="BZ1" t="s">
        <v>93</v>
      </c>
      <c r="CA1" t="s">
        <v>94</v>
      </c>
      <c r="CB1" t="s">
        <v>95</v>
      </c>
      <c r="CC1" t="s">
        <v>96</v>
      </c>
      <c r="CD1" t="s">
        <v>97</v>
      </c>
      <c r="CE1" t="s">
        <v>98</v>
      </c>
      <c r="CF1" t="s">
        <v>99</v>
      </c>
      <c r="CG1" t="s">
        <v>100</v>
      </c>
      <c r="CH1" t="s">
        <v>101</v>
      </c>
      <c r="CI1" t="s">
        <v>102</v>
      </c>
      <c r="CJ1" t="s">
        <v>103</v>
      </c>
      <c r="CK1" t="s">
        <v>104</v>
      </c>
      <c r="CL1" t="s">
        <v>105</v>
      </c>
      <c r="CM1" t="s">
        <v>106</v>
      </c>
      <c r="CN1" t="s">
        <v>107</v>
      </c>
      <c r="CO1" t="s">
        <v>108</v>
      </c>
      <c r="CP1" t="s">
        <v>109</v>
      </c>
      <c r="CQ1" t="s">
        <v>110</v>
      </c>
      <c r="CR1" t="s">
        <v>111</v>
      </c>
      <c r="CS1" t="s">
        <v>112</v>
      </c>
      <c r="CT1" t="s">
        <v>113</v>
      </c>
      <c r="CU1" t="s">
        <v>114</v>
      </c>
      <c r="CV1" t="s">
        <v>115</v>
      </c>
      <c r="CW1" t="s">
        <v>116</v>
      </c>
      <c r="CX1" t="s">
        <v>117</v>
      </c>
      <c r="CY1" t="s">
        <v>118</v>
      </c>
      <c r="CZ1" t="s">
        <v>119</v>
      </c>
      <c r="DA1" t="s">
        <v>120</v>
      </c>
      <c r="DB1" t="s">
        <v>121</v>
      </c>
      <c r="DC1" t="s">
        <v>122</v>
      </c>
      <c r="DD1" t="s">
        <v>123</v>
      </c>
      <c r="DE1" t="s">
        <v>124</v>
      </c>
      <c r="DF1" t="s">
        <v>125</v>
      </c>
      <c r="DG1" t="s">
        <v>126</v>
      </c>
      <c r="DH1" t="s">
        <v>127</v>
      </c>
      <c r="DI1" t="s">
        <v>128</v>
      </c>
      <c r="DJ1" t="s">
        <v>129</v>
      </c>
      <c r="DK1" t="s">
        <v>130</v>
      </c>
      <c r="DL1" t="s">
        <v>131</v>
      </c>
      <c r="DM1" t="s">
        <v>132</v>
      </c>
      <c r="DN1" t="s">
        <v>133</v>
      </c>
      <c r="DO1" t="s">
        <v>134</v>
      </c>
      <c r="DP1" t="s">
        <v>135</v>
      </c>
      <c r="DQ1" t="s">
        <v>136</v>
      </c>
      <c r="DR1" t="s">
        <v>137</v>
      </c>
      <c r="DS1" t="s">
        <v>138</v>
      </c>
      <c r="DT1" t="s">
        <v>139</v>
      </c>
      <c r="DU1" t="s">
        <v>140</v>
      </c>
      <c r="DV1" t="s">
        <v>141</v>
      </c>
      <c r="DW1" t="s">
        <v>142</v>
      </c>
    </row>
    <row r="2" spans="1:127">
      <c r="A2">
        <v>10.0</v>
      </c>
      <c r="B2">
        <v>3.5</v>
      </c>
      <c r="C2">
        <v>1000.0</v>
      </c>
      <c r="D2" t="b">
        <v>1</v>
      </c>
      <c r="E2" t="s">
        <v>0</v>
      </c>
      <c r="F2" t="s">
        <v>143</v>
      </c>
      <c r="G2" s="1">
        <v>45000.0</v>
      </c>
      <c r="I2">
        <f>A2+B2</f>
        <v>0</v>
      </c>
      <c r="J2">
        <f>A2-B2</f>
        <v>0</v>
      </c>
      <c r="K2">
        <f>A2*B2</f>
        <v>0</v>
      </c>
      <c r="L2">
        <f>A2/B2</f>
        <v>0</v>
      </c>
      <c r="M2">
        <f>A2^2</f>
        <v>0</v>
      </c>
      <c r="N2">
        <f>E2&amp;F2</f>
        <v>0</v>
      </c>
      <c r="O2">
        <f>C2%</f>
        <v>0</v>
      </c>
      <c r="P2">
        <f>(A2=B2)</f>
        <v>0</v>
      </c>
      <c r="Q2">
        <f>(A2&lt;&gt;B2)</f>
        <v>0</v>
      </c>
      <c r="R2">
        <f>(A2&lt;B2)</f>
        <v>0</v>
      </c>
      <c r="S2">
        <f>(A2&gt;B2)</f>
        <v>0</v>
      </c>
      <c r="T2">
        <f>(A2&lt;=B2)</f>
        <v>0</v>
      </c>
      <c r="U2">
        <f>(A2&gt;=B2)</f>
        <v>0</v>
      </c>
      <c r="V2">
        <f>-A2</f>
        <v>0</v>
      </c>
      <c r="W2">
        <f>+A2</f>
        <v>0</v>
      </c>
      <c r="X2">
        <f>TRUE()</f>
        <v>0</v>
      </c>
      <c r="Y2">
        <f>FALSE()</f>
        <v>0</v>
      </c>
      <c r="Z2">
        <f>IF(A2&gt;50,"high","low")</f>
        <v>0</v>
      </c>
      <c r="AA2">
        <f>_xlfn.IFS(A2&gt;100,"A",A2&gt;50,"B",A2&gt;0,"C",TRUE,"D")</f>
        <v>0</v>
      </c>
      <c r="AB2" cm="1">
        <f t="array" ref="AB2">_xlfn.SWITCH(E2,"EMEA",1,"APAC",2,"AMER",3,0)</f>
        <v>0</v>
      </c>
      <c r="AC2">
        <f>IFERROR(A2/B2,-1)</f>
        <v>0</v>
      </c>
      <c r="AD2">
        <f>_xlfn.IFNA(VLOOKUP(E2,Lookup1!A:C,2,FALSE),"missing")</f>
        <v>0</v>
      </c>
      <c r="AE2">
        <f>AND(A2&gt;0,B2&gt;0)</f>
        <v>0</v>
      </c>
      <c r="AF2">
        <f>OR(A2&gt;100,B2&gt;10)</f>
        <v>0</v>
      </c>
      <c r="AG2">
        <f>NOT(D2)</f>
        <v>0</v>
      </c>
      <c r="AH2">
        <f>_xlfn.XOR(A2&gt;50,B2&gt;5)</f>
        <v>0</v>
      </c>
      <c r="AI2">
        <f>SUM(C:C)</f>
        <v>0</v>
      </c>
      <c r="AJ2">
        <f>SUMIF(AggSource!A:A,"EMEA",AggSource!B:B)</f>
        <v>0</v>
      </c>
      <c r="AK2">
        <f>SUMIFS(AggSource!B:B,AggSource!A:A,"EMEA",AggSource!C:C,"Sales")</f>
        <v>0</v>
      </c>
      <c r="AL2">
        <f>PRODUCT(2,3,4)</f>
        <v>0</v>
      </c>
      <c r="AM2">
        <f>COUNT(C:C)</f>
        <v>0</v>
      </c>
      <c r="AN2">
        <f>COUNTA(H:H)</f>
        <v>0</v>
      </c>
      <c r="AO2">
        <f>COUNTBLANK(H:H)</f>
        <v>0</v>
      </c>
      <c r="AP2">
        <f>COUNTIF(AggSource!A:A,"EMEA")</f>
        <v>0</v>
      </c>
      <c r="AQ2">
        <f>COUNTIFS(AggSource!A:A,"EMEA",AggSource!C:C,"Sales")</f>
        <v>0</v>
      </c>
      <c r="AR2">
        <f>AVERAGE(C:C)</f>
        <v>0</v>
      </c>
      <c r="AS2">
        <f>AVERAGEIF(AggSource!A:A,"APAC",AggSource!B:B)</f>
        <v>0</v>
      </c>
      <c r="AT2">
        <f>AVERAGEIFS(AggSource!B:B,AggSource!A:A,"EMEA",AggSource!C:C,"Sales")</f>
        <v>0</v>
      </c>
      <c r="AU2">
        <f>MIN(C:C)</f>
        <v>0</v>
      </c>
      <c r="AV2">
        <f>MAX(C:C)</f>
        <v>0</v>
      </c>
      <c r="AW2">
        <f>MEDIAN(C:C)</f>
        <v>0</v>
      </c>
      <c r="AX2">
        <f>_xlfn.MINIFS(AggSource!B:B,AggSource!A:A,"EMEA",AggSource!C:C,"Sales")</f>
        <v>0</v>
      </c>
      <c r="AY2">
        <f>_xlfn.MAXIFS(AggSource!B:B,AggSource!A:A,"EMEA",AggSource!C:C,"Sales")</f>
        <v>0</v>
      </c>
      <c r="AZ2">
        <f>VLOOKUP(E2,Lookup1!A:C,2,FALSE)</f>
        <v>0</v>
      </c>
      <c r="BA2">
        <f>HLOOKUP("Q2",HLookup!A1:D3,2,FALSE)</f>
        <v>0</v>
      </c>
      <c r="BB2" cm="1">
        <f t="array" ref="BB2">_xlfn.XLOOKUP(E2,Lookup1!A:A,Lookup1!B:B,"N/F")</f>
        <v>0</v>
      </c>
      <c r="BC2">
        <f>MATCH(E2,Lookup1!A:A,0)</f>
        <v>0</v>
      </c>
      <c r="BD2">
        <f>_xlfn.XMATCH(E2,Lookup1!A:A,0)</f>
        <v>0</v>
      </c>
      <c r="BE2">
        <f>INDEX(Lookup1!B:B,MATCH(E2,Lookup1!A:A,0))</f>
        <v>0</v>
      </c>
      <c r="BF2">
        <f>CHOOSE(2,"alpha","beta","gamma")</f>
        <v>0</v>
      </c>
      <c r="BG2">
        <f>LEFT(F2,3)</f>
        <v>0</v>
      </c>
      <c r="BH2">
        <f>RIGHT(F2,3)</f>
        <v>0</v>
      </c>
      <c r="BI2">
        <f>MID(F2,2,3)</f>
        <v>0</v>
      </c>
      <c r="BJ2">
        <f>LEN(F2)</f>
        <v>0</v>
      </c>
      <c r="BK2">
        <f>UPPER(F2)</f>
        <v>0</v>
      </c>
      <c r="BL2">
        <f>LOWER(F2)</f>
        <v>0</v>
      </c>
      <c r="BM2">
        <f>PROPER(F2)</f>
        <v>0</v>
      </c>
      <c r="BN2">
        <f>TRIM(F2)</f>
        <v>0</v>
      </c>
      <c r="BO2">
        <f>CLEAN(F2)</f>
        <v>0</v>
      </c>
      <c r="BP2">
        <f>_xlfn.CONCAT(E2,"-",F2)</f>
        <v>0</v>
      </c>
      <c r="BQ2">
        <f>CONCATENATE(E2,"-",F2)</f>
        <v>0</v>
      </c>
      <c r="BR2">
        <f>_xlfn.TEXTJOIN("-",TRUE,E2,F2)</f>
        <v>0</v>
      </c>
      <c r="BS2">
        <f>IFERROR(FIND("l",F2),0)</f>
        <v>0</v>
      </c>
      <c r="BT2">
        <f>IFERROR(SEARCH("L",F2),0)</f>
        <v>0</v>
      </c>
      <c r="BU2">
        <f>SUBSTITUTE(F2,"o","0")</f>
        <v>0</v>
      </c>
      <c r="BV2">
        <f>REPLACE(F2,1,1,"X")</f>
        <v>0</v>
      </c>
      <c r="BW2">
        <f>TEXT(C2,"0.00")</f>
        <v>0</v>
      </c>
      <c r="BX2">
        <f>VALUE("123.45")</f>
        <v>0</v>
      </c>
      <c r="BY2">
        <f>EXACT(F2,"hello")</f>
        <v>0</v>
      </c>
      <c r="BZ2">
        <f>ROUND(B2,1)</f>
        <v>0</v>
      </c>
      <c r="CA2">
        <f>ROUNDUP(B2,0)</f>
        <v>0</v>
      </c>
      <c r="CB2">
        <f>ROUNDDOWN(B2,0)</f>
        <v>0</v>
      </c>
      <c r="CC2">
        <f>INT(B2)</f>
        <v>0</v>
      </c>
      <c r="CD2">
        <f>MOD(A2,3)</f>
        <v>0</v>
      </c>
      <c r="CE2">
        <f>ABS(A2)</f>
        <v>0</v>
      </c>
      <c r="CF2">
        <f>SIGN(A2)</f>
        <v>0</v>
      </c>
      <c r="CG2">
        <f>SQRT(ABS(A2))</f>
        <v>0</v>
      </c>
      <c r="CH2">
        <f>POWER(ABS(A2),2)</f>
        <v>0</v>
      </c>
      <c r="CI2">
        <f>CEILING(B2,1)</f>
        <v>0</v>
      </c>
      <c r="CJ2">
        <f>FLOOR(B2,1)</f>
        <v>0</v>
      </c>
      <c r="CK2">
        <f>LN(ABS(A2)+1)</f>
        <v>0</v>
      </c>
      <c r="CL2">
        <f>LOG(ABS(A2)+1,10)</f>
        <v>0</v>
      </c>
      <c r="CM2">
        <f>LOG10(ABS(A2)+1)</f>
        <v>0</v>
      </c>
      <c r="CN2">
        <f>EXP(1)</f>
        <v>0</v>
      </c>
      <c r="CO2">
        <f>SIN(B2)</f>
        <v>0</v>
      </c>
      <c r="CP2">
        <f>COS(B2)</f>
        <v>0</v>
      </c>
      <c r="CQ2">
        <f>TAN(B2)</f>
        <v>0</v>
      </c>
      <c r="CR2">
        <f>ASIN(B2/100)</f>
        <v>0</v>
      </c>
      <c r="CS2">
        <f>ACOS(B2/100)</f>
        <v>0</v>
      </c>
      <c r="CT2">
        <f>ATAN(B2)</f>
        <v>0</v>
      </c>
      <c r="CU2">
        <f>ATAN2(A2,B2)</f>
        <v>0</v>
      </c>
      <c r="CV2">
        <f>PI()</f>
        <v>0</v>
      </c>
      <c r="CW2">
        <f>TODAY()</f>
        <v>0</v>
      </c>
      <c r="CX2">
        <f>NOW()</f>
        <v>0</v>
      </c>
      <c r="CY2">
        <f>DATE(2026,4,20)</f>
        <v>0</v>
      </c>
      <c r="CZ2">
        <f>YEAR(G2)</f>
        <v>0</v>
      </c>
      <c r="DA2">
        <f>MONTH(G2)</f>
        <v>0</v>
      </c>
      <c r="DB2">
        <f>DAY(G2)</f>
        <v>0</v>
      </c>
      <c r="DC2">
        <f>WEEKDAY(G2)</f>
        <v>0</v>
      </c>
      <c r="DD2">
        <f>EDATE(G2,3)</f>
        <v>0</v>
      </c>
      <c r="DE2">
        <f>EOMONTH(G2,0)</f>
        <v>0</v>
      </c>
      <c r="DF2">
        <f>DATEDIF(DATE(2020,1,1),G2,"d")</f>
        <v>0</v>
      </c>
      <c r="DG2">
        <f>NETWORKDAYS(DATE(2026,1,1),DATE(2026,1,31))</f>
        <v>0</v>
      </c>
      <c r="DH2">
        <f>WORKDAY(DATE(2026,1,1),10)</f>
        <v>0</v>
      </c>
      <c r="DI2">
        <f>ISBLANK(H2)</f>
        <v>0</v>
      </c>
      <c r="DJ2">
        <f>ISNUMBER(A2)</f>
        <v>0</v>
      </c>
      <c r="DK2">
        <f>ISTEXT(F2)</f>
        <v>0</v>
      </c>
      <c r="DL2">
        <f>ISLOGICAL(D2)</f>
        <v>0</v>
      </c>
      <c r="DM2">
        <f>ISNONTEXT(A2)</f>
        <v>0</v>
      </c>
      <c r="DN2">
        <f>ISERROR(1/0)</f>
        <v>0</v>
      </c>
      <c r="DO2">
        <f>ISNA(VLOOKUP("ZZZ",Lookup1!A:C,2,FALSE))</f>
        <v>0</v>
      </c>
      <c r="DP2">
        <f>ISREF(A2)</f>
        <v>0</v>
      </c>
      <c r="DQ2">
        <f>NA()</f>
        <v>0</v>
      </c>
      <c r="DR2">
        <f>TYPE(A2)</f>
        <v>0</v>
      </c>
      <c r="DS2">
        <f>PMT(0.05/12,360,-200000)</f>
        <v>0</v>
      </c>
      <c r="DT2">
        <f>PV(0.08/12,120,-500)</f>
        <v>0</v>
      </c>
      <c r="DU2">
        <f>FV(0.06/12,240,-200)</f>
        <v>0</v>
      </c>
      <c r="DV2">
        <f>NPV(0.1,A2,B2,C2)</f>
        <v>0</v>
      </c>
      <c r="DW2">
        <f>RATE(120,-500,50000)</f>
        <v>0</v>
      </c>
    </row>
    <row r="3" spans="1:127">
      <c r="A3">
        <v>25.0</v>
      </c>
      <c r="B3">
        <v>7.2</v>
      </c>
      <c r="C3">
        <v>2500.0</v>
      </c>
      <c r="D3" t="b">
        <v>0</v>
      </c>
      <c r="E3" t="s">
        <v>2</v>
      </c>
      <c r="F3" t="s">
        <v>144</v>
      </c>
      <c r="G3" s="1">
        <v>45031.0</v>
      </c>
      <c r="H3">
        <v>42.0</v>
      </c>
      <c r="I3">
        <f>A3+B3</f>
        <v>0</v>
      </c>
      <c r="J3">
        <f>A3-B3</f>
        <v>0</v>
      </c>
      <c r="K3">
        <f>A3*B3</f>
        <v>0</v>
      </c>
      <c r="L3">
        <f>A3/B3</f>
        <v>0</v>
      </c>
      <c r="M3">
        <f>A3^2</f>
        <v>0</v>
      </c>
      <c r="N3">
        <f>E3&amp;F3</f>
        <v>0</v>
      </c>
      <c r="O3">
        <f>C3%</f>
        <v>0</v>
      </c>
      <c r="P3">
        <f>(A3=B3)</f>
        <v>0</v>
      </c>
      <c r="Q3">
        <f>(A3&lt;&gt;B3)</f>
        <v>0</v>
      </c>
      <c r="R3">
        <f>(A3&lt;B3)</f>
        <v>0</v>
      </c>
      <c r="S3">
        <f>(A3&gt;B3)</f>
        <v>0</v>
      </c>
      <c r="T3">
        <f>(A3&lt;=B3)</f>
        <v>0</v>
      </c>
      <c r="U3">
        <f>(A3&gt;=B3)</f>
        <v>0</v>
      </c>
      <c r="V3">
        <f>-A3</f>
        <v>0</v>
      </c>
      <c r="W3">
        <f>+A3</f>
        <v>0</v>
      </c>
      <c r="X3">
        <f>TRUE()</f>
        <v>0</v>
      </c>
      <c r="Y3">
        <f>FALSE()</f>
        <v>0</v>
      </c>
      <c r="Z3">
        <f>IF(A3&gt;50,"high","low")</f>
        <v>0</v>
      </c>
      <c r="AA3">
        <f>_xlfn.IFS(A3&gt;100,"A",A3&gt;50,"B",A3&gt;0,"C",TRUE,"D")</f>
        <v>0</v>
      </c>
      <c r="AB3" cm="1">
        <f t="array" ref="AB3">_xlfn.SWITCH(E3,"EMEA",1,"APAC",2,"AMER",3,0)</f>
        <v>0</v>
      </c>
      <c r="AC3">
        <f>IFERROR(A3/B3,-1)</f>
        <v>0</v>
      </c>
      <c r="AD3">
        <f>_xlfn.IFNA(VLOOKUP(E3,Lookup1!A:C,2,FALSE),"missing")</f>
        <v>0</v>
      </c>
      <c r="AE3">
        <f>AND(A3&gt;0,B3&gt;0)</f>
        <v>0</v>
      </c>
      <c r="AF3">
        <f>OR(A3&gt;100,B3&gt;10)</f>
        <v>0</v>
      </c>
      <c r="AG3">
        <f>NOT(D3)</f>
        <v>0</v>
      </c>
      <c r="AH3">
        <f>_xlfn.XOR(A3&gt;50,B3&gt;5)</f>
        <v>0</v>
      </c>
      <c r="AI3">
        <f>SUM(C:C)</f>
        <v>0</v>
      </c>
      <c r="AJ3">
        <f>SUMIF(AggSource!A:A,"EMEA",AggSource!B:B)</f>
        <v>0</v>
      </c>
      <c r="AK3">
        <f>SUMIFS(AggSource!B:B,AggSource!A:A,"EMEA",AggSource!C:C,"Sales")</f>
        <v>0</v>
      </c>
      <c r="AL3">
        <f>PRODUCT(2,3,4)</f>
        <v>0</v>
      </c>
      <c r="AM3">
        <f>COUNT(C:C)</f>
        <v>0</v>
      </c>
      <c r="AN3">
        <f>COUNTA(H:H)</f>
        <v>0</v>
      </c>
      <c r="AO3">
        <f>COUNTBLANK(H:H)</f>
        <v>0</v>
      </c>
      <c r="AP3">
        <f>COUNTIF(AggSource!A:A,"EMEA")</f>
        <v>0</v>
      </c>
      <c r="AQ3">
        <f>COUNTIFS(AggSource!A:A,"EMEA",AggSource!C:C,"Sales")</f>
        <v>0</v>
      </c>
      <c r="AR3">
        <f>AVERAGE(C:C)</f>
        <v>0</v>
      </c>
      <c r="AS3">
        <f>AVERAGEIF(AggSource!A:A,"APAC",AggSource!B:B)</f>
        <v>0</v>
      </c>
      <c r="AT3">
        <f>AVERAGEIFS(AggSource!B:B,AggSource!A:A,"EMEA",AggSource!C:C,"Sales")</f>
        <v>0</v>
      </c>
      <c r="AU3">
        <f>MIN(C:C)</f>
        <v>0</v>
      </c>
      <c r="AV3">
        <f>MAX(C:C)</f>
        <v>0</v>
      </c>
      <c r="AW3">
        <f>MEDIAN(C:C)</f>
        <v>0</v>
      </c>
      <c r="AX3">
        <f>_xlfn.MINIFS(AggSource!B:B,AggSource!A:A,"EMEA",AggSource!C:C,"Sales")</f>
        <v>0</v>
      </c>
      <c r="AY3">
        <f>_xlfn.MAXIFS(AggSource!B:B,AggSource!A:A,"EMEA",AggSource!C:C,"Sales")</f>
        <v>0</v>
      </c>
      <c r="AZ3">
        <f>VLOOKUP(E3,Lookup1!A:C,2,FALSE)</f>
        <v>0</v>
      </c>
      <c r="BA3">
        <f>HLOOKUP("Q2",HLookup!A1:D3,2,FALSE)</f>
        <v>0</v>
      </c>
      <c r="BB3" cm="1">
        <f t="array" ref="BB3">_xlfn.XLOOKUP(E3,Lookup1!A:A,Lookup1!B:B,"N/F")</f>
        <v>0</v>
      </c>
      <c r="BC3">
        <f>MATCH(E3,Lookup1!A:A,0)</f>
        <v>0</v>
      </c>
      <c r="BD3">
        <f>_xlfn.XMATCH(E3,Lookup1!A:A,0)</f>
        <v>0</v>
      </c>
      <c r="BE3">
        <f>INDEX(Lookup1!B:B,MATCH(E3,Lookup1!A:A,0))</f>
        <v>0</v>
      </c>
      <c r="BF3">
        <f>CHOOSE(2,"alpha","beta","gamma")</f>
        <v>0</v>
      </c>
      <c r="BG3">
        <f>LEFT(F3,3)</f>
        <v>0</v>
      </c>
      <c r="BH3">
        <f>RIGHT(F3,3)</f>
        <v>0</v>
      </c>
      <c r="BI3">
        <f>MID(F3,2,3)</f>
        <v>0</v>
      </c>
      <c r="BJ3">
        <f>LEN(F3)</f>
        <v>0</v>
      </c>
      <c r="BK3">
        <f>UPPER(F3)</f>
        <v>0</v>
      </c>
      <c r="BL3">
        <f>LOWER(F3)</f>
        <v>0</v>
      </c>
      <c r="BM3">
        <f>PROPER(F3)</f>
        <v>0</v>
      </c>
      <c r="BN3">
        <f>TRIM(F3)</f>
        <v>0</v>
      </c>
      <c r="BO3">
        <f>CLEAN(F3)</f>
        <v>0</v>
      </c>
      <c r="BP3">
        <f>_xlfn.CONCAT(E3,"-",F3)</f>
        <v>0</v>
      </c>
      <c r="BQ3">
        <f>CONCATENATE(E3,"-",F3)</f>
        <v>0</v>
      </c>
      <c r="BR3">
        <f>_xlfn.TEXTJOIN("-",TRUE,E3,F3)</f>
        <v>0</v>
      </c>
      <c r="BS3">
        <f>IFERROR(FIND("l",F3),0)</f>
        <v>0</v>
      </c>
      <c r="BT3">
        <f>IFERROR(SEARCH("L",F3),0)</f>
        <v>0</v>
      </c>
      <c r="BU3">
        <f>SUBSTITUTE(F3,"o","0")</f>
        <v>0</v>
      </c>
      <c r="BV3">
        <f>REPLACE(F3,1,1,"X")</f>
        <v>0</v>
      </c>
      <c r="BW3">
        <f>TEXT(C3,"0.00")</f>
        <v>0</v>
      </c>
      <c r="BX3">
        <f>VALUE("123.45")</f>
        <v>0</v>
      </c>
      <c r="BY3">
        <f>EXACT(F3,"hello")</f>
        <v>0</v>
      </c>
      <c r="BZ3">
        <f>ROUND(B3,1)</f>
        <v>0</v>
      </c>
      <c r="CA3">
        <f>ROUNDUP(B3,0)</f>
        <v>0</v>
      </c>
      <c r="CB3">
        <f>ROUNDDOWN(B3,0)</f>
        <v>0</v>
      </c>
      <c r="CC3">
        <f>INT(B3)</f>
        <v>0</v>
      </c>
      <c r="CD3">
        <f>MOD(A3,3)</f>
        <v>0</v>
      </c>
      <c r="CE3">
        <f>ABS(A3)</f>
        <v>0</v>
      </c>
      <c r="CF3">
        <f>SIGN(A3)</f>
        <v>0</v>
      </c>
      <c r="CG3">
        <f>SQRT(ABS(A3))</f>
        <v>0</v>
      </c>
      <c r="CH3">
        <f>POWER(ABS(A3),2)</f>
        <v>0</v>
      </c>
      <c r="CI3">
        <f>CEILING(B3,1)</f>
        <v>0</v>
      </c>
      <c r="CJ3">
        <f>FLOOR(B3,1)</f>
        <v>0</v>
      </c>
      <c r="CK3">
        <f>LN(ABS(A3)+1)</f>
        <v>0</v>
      </c>
      <c r="CL3">
        <f>LOG(ABS(A3)+1,10)</f>
        <v>0</v>
      </c>
      <c r="CM3">
        <f>LOG10(ABS(A3)+1)</f>
        <v>0</v>
      </c>
      <c r="CN3">
        <f>EXP(1)</f>
        <v>0</v>
      </c>
      <c r="CO3">
        <f>SIN(B3)</f>
        <v>0</v>
      </c>
      <c r="CP3">
        <f>COS(B3)</f>
        <v>0</v>
      </c>
      <c r="CQ3">
        <f>TAN(B3)</f>
        <v>0</v>
      </c>
      <c r="CR3">
        <f>ASIN(B3/100)</f>
        <v>0</v>
      </c>
      <c r="CS3">
        <f>ACOS(B3/100)</f>
        <v>0</v>
      </c>
      <c r="CT3">
        <f>ATAN(B3)</f>
        <v>0</v>
      </c>
      <c r="CU3">
        <f>ATAN2(A3,B3)</f>
        <v>0</v>
      </c>
      <c r="CV3">
        <f>PI()</f>
        <v>0</v>
      </c>
      <c r="CW3">
        <f>TODAY()</f>
        <v>0</v>
      </c>
      <c r="CX3">
        <f>NOW()</f>
        <v>0</v>
      </c>
      <c r="CY3">
        <f>DATE(2026,4,20)</f>
        <v>0</v>
      </c>
      <c r="CZ3">
        <f>YEAR(G3)</f>
        <v>0</v>
      </c>
      <c r="DA3">
        <f>MONTH(G3)</f>
        <v>0</v>
      </c>
      <c r="DB3">
        <f>DAY(G3)</f>
        <v>0</v>
      </c>
      <c r="DC3">
        <f>WEEKDAY(G3)</f>
        <v>0</v>
      </c>
      <c r="DD3">
        <f>EDATE(G3,3)</f>
        <v>0</v>
      </c>
      <c r="DE3">
        <f>EOMONTH(G3,0)</f>
        <v>0</v>
      </c>
      <c r="DF3">
        <f>DATEDIF(DATE(2020,1,1),G3,"d")</f>
        <v>0</v>
      </c>
      <c r="DG3">
        <f>NETWORKDAYS(DATE(2026,1,1),DATE(2026,1,31))</f>
        <v>0</v>
      </c>
      <c r="DH3">
        <f>WORKDAY(DATE(2026,1,1),10)</f>
        <v>0</v>
      </c>
      <c r="DI3">
        <f>ISBLANK(H3)</f>
        <v>0</v>
      </c>
      <c r="DJ3">
        <f>ISNUMBER(A3)</f>
        <v>0</v>
      </c>
      <c r="DK3">
        <f>ISTEXT(F3)</f>
        <v>0</v>
      </c>
      <c r="DL3">
        <f>ISLOGICAL(D3)</f>
        <v>0</v>
      </c>
      <c r="DM3">
        <f>ISNONTEXT(A3)</f>
        <v>0</v>
      </c>
      <c r="DN3">
        <f>ISERROR(1/0)</f>
        <v>0</v>
      </c>
      <c r="DO3">
        <f>ISNA(VLOOKUP("ZZZ",Lookup1!A:C,2,FALSE))</f>
        <v>0</v>
      </c>
      <c r="DP3">
        <f>ISREF(A3)</f>
        <v>0</v>
      </c>
      <c r="DQ3">
        <f>NA()</f>
        <v>0</v>
      </c>
      <c r="DR3">
        <f>TYPE(A3)</f>
        <v>0</v>
      </c>
      <c r="DS3">
        <f>PMT(0.05/12,360,-200000)</f>
        <v>0</v>
      </c>
      <c r="DT3">
        <f>PV(0.08/12,120,-500)</f>
        <v>0</v>
      </c>
      <c r="DU3">
        <f>FV(0.06/12,240,-200)</f>
        <v>0</v>
      </c>
      <c r="DV3">
        <f>NPV(0.1,A3,B3,C3)</f>
        <v>0</v>
      </c>
      <c r="DW3">
        <f>RATE(120,-500,50000)</f>
        <v>0</v>
      </c>
    </row>
    <row r="4" spans="1:127">
      <c r="A4">
        <v>0.0</v>
      </c>
      <c r="B4">
        <v>0.0</v>
      </c>
      <c r="C4">
        <v>0.0</v>
      </c>
      <c r="D4" t="b">
        <v>1</v>
      </c>
      <c r="E4" t="s">
        <v>4</v>
      </c>
      <c r="F4" t="s">
        <v>145</v>
      </c>
      <c r="G4" s="1">
        <v>45061.0</v>
      </c>
      <c r="H4" t="s">
        <v>21</v>
      </c>
      <c r="I4">
        <f>A4+B4</f>
        <v>0</v>
      </c>
      <c r="J4">
        <f>A4-B4</f>
        <v>0</v>
      </c>
      <c r="K4">
        <f>A4*B4</f>
        <v>0</v>
      </c>
      <c r="L4">
        <f>A4/B4</f>
        <v>0</v>
      </c>
      <c r="M4">
        <f>A4^2</f>
        <v>0</v>
      </c>
      <c r="N4">
        <f>E4&amp;F4</f>
        <v>0</v>
      </c>
      <c r="O4">
        <f>C4%</f>
        <v>0</v>
      </c>
      <c r="P4">
        <f>(A4=B4)</f>
        <v>0</v>
      </c>
      <c r="Q4">
        <f>(A4&lt;&gt;B4)</f>
        <v>0</v>
      </c>
      <c r="R4">
        <f>(A4&lt;B4)</f>
        <v>0</v>
      </c>
      <c r="S4">
        <f>(A4&gt;B4)</f>
        <v>0</v>
      </c>
      <c r="T4">
        <f>(A4&lt;=B4)</f>
        <v>0</v>
      </c>
      <c r="U4">
        <f>(A4&gt;=B4)</f>
        <v>0</v>
      </c>
      <c r="V4">
        <f>-A4</f>
        <v>0</v>
      </c>
      <c r="W4">
        <f>+A4</f>
        <v>0</v>
      </c>
      <c r="X4">
        <f>TRUE()</f>
        <v>0</v>
      </c>
      <c r="Y4">
        <f>FALSE()</f>
        <v>0</v>
      </c>
      <c r="Z4">
        <f>IF(A4&gt;50,"high","low")</f>
        <v>0</v>
      </c>
      <c r="AA4">
        <f>_xlfn.IFS(A4&gt;100,"A",A4&gt;50,"B",A4&gt;0,"C",TRUE,"D")</f>
        <v>0</v>
      </c>
      <c r="AB4" cm="1">
        <f t="array" ref="AB4">_xlfn.SWITCH(E4,"EMEA",1,"APAC",2,"AMER",3,0)</f>
        <v>0</v>
      </c>
      <c r="AC4">
        <f>IFERROR(A4/B4,-1)</f>
        <v>0</v>
      </c>
      <c r="AD4">
        <f>_xlfn.IFNA(VLOOKUP(E4,Lookup1!A:C,2,FALSE),"missing")</f>
        <v>0</v>
      </c>
      <c r="AE4">
        <f>AND(A4&gt;0,B4&gt;0)</f>
        <v>0</v>
      </c>
      <c r="AF4">
        <f>OR(A4&gt;100,B4&gt;10)</f>
        <v>0</v>
      </c>
      <c r="AG4">
        <f>NOT(D4)</f>
        <v>0</v>
      </c>
      <c r="AH4">
        <f>_xlfn.XOR(A4&gt;50,B4&gt;5)</f>
        <v>0</v>
      </c>
      <c r="AI4">
        <f>SUM(C:C)</f>
        <v>0</v>
      </c>
      <c r="AJ4">
        <f>SUMIF(AggSource!A:A,"EMEA",AggSource!B:B)</f>
        <v>0</v>
      </c>
      <c r="AK4">
        <f>SUMIFS(AggSource!B:B,AggSource!A:A,"EMEA",AggSource!C:C,"Sales")</f>
        <v>0</v>
      </c>
      <c r="AL4">
        <f>PRODUCT(2,3,4)</f>
        <v>0</v>
      </c>
      <c r="AM4">
        <f>COUNT(C:C)</f>
        <v>0</v>
      </c>
      <c r="AN4">
        <f>COUNTA(H:H)</f>
        <v>0</v>
      </c>
      <c r="AO4">
        <f>COUNTBLANK(H:H)</f>
        <v>0</v>
      </c>
      <c r="AP4">
        <f>COUNTIF(AggSource!A:A,"EMEA")</f>
        <v>0</v>
      </c>
      <c r="AQ4">
        <f>COUNTIFS(AggSource!A:A,"EMEA",AggSource!C:C,"Sales")</f>
        <v>0</v>
      </c>
      <c r="AR4">
        <f>AVERAGE(C:C)</f>
        <v>0</v>
      </c>
      <c r="AS4">
        <f>AVERAGEIF(AggSource!A:A,"APAC",AggSource!B:B)</f>
        <v>0</v>
      </c>
      <c r="AT4">
        <f>AVERAGEIFS(AggSource!B:B,AggSource!A:A,"EMEA",AggSource!C:C,"Sales")</f>
        <v>0</v>
      </c>
      <c r="AU4">
        <f>MIN(C:C)</f>
        <v>0</v>
      </c>
      <c r="AV4">
        <f>MAX(C:C)</f>
        <v>0</v>
      </c>
      <c r="AW4">
        <f>MEDIAN(C:C)</f>
        <v>0</v>
      </c>
      <c r="AX4">
        <f>_xlfn.MINIFS(AggSource!B:B,AggSource!A:A,"EMEA",AggSource!C:C,"Sales")</f>
        <v>0</v>
      </c>
      <c r="AY4">
        <f>_xlfn.MAXIFS(AggSource!B:B,AggSource!A:A,"EMEA",AggSource!C:C,"Sales")</f>
        <v>0</v>
      </c>
      <c r="AZ4">
        <f>VLOOKUP(E4,Lookup1!A:C,2,FALSE)</f>
        <v>0</v>
      </c>
      <c r="BA4">
        <f>HLOOKUP("Q2",HLookup!A1:D3,2,FALSE)</f>
        <v>0</v>
      </c>
      <c r="BB4" cm="1">
        <f t="array" ref="BB4">_xlfn.XLOOKUP(E4,Lookup1!A:A,Lookup1!B:B,"N/F")</f>
        <v>0</v>
      </c>
      <c r="BC4">
        <f>MATCH(E4,Lookup1!A:A,0)</f>
        <v>0</v>
      </c>
      <c r="BD4">
        <f>_xlfn.XMATCH(E4,Lookup1!A:A,0)</f>
        <v>0</v>
      </c>
      <c r="BE4">
        <f>INDEX(Lookup1!B:B,MATCH(E4,Lookup1!A:A,0))</f>
        <v>0</v>
      </c>
      <c r="BF4">
        <f>CHOOSE(2,"alpha","beta","gamma")</f>
        <v>0</v>
      </c>
      <c r="BG4">
        <f>LEFT(F4,3)</f>
        <v>0</v>
      </c>
      <c r="BH4">
        <f>RIGHT(F4,3)</f>
        <v>0</v>
      </c>
      <c r="BI4">
        <f>MID(F4,2,3)</f>
        <v>0</v>
      </c>
      <c r="BJ4">
        <f>LEN(F4)</f>
        <v>0</v>
      </c>
      <c r="BK4">
        <f>UPPER(F4)</f>
        <v>0</v>
      </c>
      <c r="BL4">
        <f>LOWER(F4)</f>
        <v>0</v>
      </c>
      <c r="BM4">
        <f>PROPER(F4)</f>
        <v>0</v>
      </c>
      <c r="BN4">
        <f>TRIM(F4)</f>
        <v>0</v>
      </c>
      <c r="BO4">
        <f>CLEAN(F4)</f>
        <v>0</v>
      </c>
      <c r="BP4">
        <f>_xlfn.CONCAT(E4,"-",F4)</f>
        <v>0</v>
      </c>
      <c r="BQ4">
        <f>CONCATENATE(E4,"-",F4)</f>
        <v>0</v>
      </c>
      <c r="BR4">
        <f>_xlfn.TEXTJOIN("-",TRUE,E4,F4)</f>
        <v>0</v>
      </c>
      <c r="BS4">
        <f>IFERROR(FIND("l",F4),0)</f>
        <v>0</v>
      </c>
      <c r="BT4">
        <f>IFERROR(SEARCH("L",F4),0)</f>
        <v>0</v>
      </c>
      <c r="BU4">
        <f>SUBSTITUTE(F4,"o","0")</f>
        <v>0</v>
      </c>
      <c r="BV4">
        <f>REPLACE(F4,1,1,"X")</f>
        <v>0</v>
      </c>
      <c r="BW4">
        <f>TEXT(C4,"0.00")</f>
        <v>0</v>
      </c>
      <c r="BX4">
        <f>VALUE("123.45")</f>
        <v>0</v>
      </c>
      <c r="BY4">
        <f>EXACT(F4,"hello")</f>
        <v>0</v>
      </c>
      <c r="BZ4">
        <f>ROUND(B4,1)</f>
        <v>0</v>
      </c>
      <c r="CA4">
        <f>ROUNDUP(B4,0)</f>
        <v>0</v>
      </c>
      <c r="CB4">
        <f>ROUNDDOWN(B4,0)</f>
        <v>0</v>
      </c>
      <c r="CC4">
        <f>INT(B4)</f>
        <v>0</v>
      </c>
      <c r="CD4">
        <f>MOD(A4,3)</f>
        <v>0</v>
      </c>
      <c r="CE4">
        <f>ABS(A4)</f>
        <v>0</v>
      </c>
      <c r="CF4">
        <f>SIGN(A4)</f>
        <v>0</v>
      </c>
      <c r="CG4">
        <f>SQRT(ABS(A4))</f>
        <v>0</v>
      </c>
      <c r="CH4">
        <f>POWER(ABS(A4),2)</f>
        <v>0</v>
      </c>
      <c r="CI4">
        <f>CEILING(B4,1)</f>
        <v>0</v>
      </c>
      <c r="CJ4">
        <f>FLOOR(B4,1)</f>
        <v>0</v>
      </c>
      <c r="CK4">
        <f>LN(ABS(A4)+1)</f>
        <v>0</v>
      </c>
      <c r="CL4">
        <f>LOG(ABS(A4)+1,10)</f>
        <v>0</v>
      </c>
      <c r="CM4">
        <f>LOG10(ABS(A4)+1)</f>
        <v>0</v>
      </c>
      <c r="CN4">
        <f>EXP(1)</f>
        <v>0</v>
      </c>
      <c r="CO4">
        <f>SIN(B4)</f>
        <v>0</v>
      </c>
      <c r="CP4">
        <f>COS(B4)</f>
        <v>0</v>
      </c>
      <c r="CQ4">
        <f>TAN(B4)</f>
        <v>0</v>
      </c>
      <c r="CR4">
        <f>ASIN(B4/100)</f>
        <v>0</v>
      </c>
      <c r="CS4">
        <f>ACOS(B4/100)</f>
        <v>0</v>
      </c>
      <c r="CT4">
        <f>ATAN(B4)</f>
        <v>0</v>
      </c>
      <c r="CU4">
        <f>ATAN2(A4,B4)</f>
        <v>0</v>
      </c>
      <c r="CV4">
        <f>PI()</f>
        <v>0</v>
      </c>
      <c r="CW4">
        <f>TODAY()</f>
        <v>0</v>
      </c>
      <c r="CX4">
        <f>NOW()</f>
        <v>0</v>
      </c>
      <c r="CY4">
        <f>DATE(2026,4,20)</f>
        <v>0</v>
      </c>
      <c r="CZ4">
        <f>YEAR(G4)</f>
        <v>0</v>
      </c>
      <c r="DA4">
        <f>MONTH(G4)</f>
        <v>0</v>
      </c>
      <c r="DB4">
        <f>DAY(G4)</f>
        <v>0</v>
      </c>
      <c r="DC4">
        <f>WEEKDAY(G4)</f>
        <v>0</v>
      </c>
      <c r="DD4">
        <f>EDATE(G4,3)</f>
        <v>0</v>
      </c>
      <c r="DE4">
        <f>EOMONTH(G4,0)</f>
        <v>0</v>
      </c>
      <c r="DF4">
        <f>DATEDIF(DATE(2020,1,1),G4,"d")</f>
        <v>0</v>
      </c>
      <c r="DG4">
        <f>NETWORKDAYS(DATE(2026,1,1),DATE(2026,1,31))</f>
        <v>0</v>
      </c>
      <c r="DH4">
        <f>WORKDAY(DATE(2026,1,1),10)</f>
        <v>0</v>
      </c>
      <c r="DI4">
        <f>ISBLANK(H4)</f>
        <v>0</v>
      </c>
      <c r="DJ4">
        <f>ISNUMBER(A4)</f>
        <v>0</v>
      </c>
      <c r="DK4">
        <f>ISTEXT(F4)</f>
        <v>0</v>
      </c>
      <c r="DL4">
        <f>ISLOGICAL(D4)</f>
        <v>0</v>
      </c>
      <c r="DM4">
        <f>ISNONTEXT(A4)</f>
        <v>0</v>
      </c>
      <c r="DN4">
        <f>ISERROR(1/0)</f>
        <v>0</v>
      </c>
      <c r="DO4">
        <f>ISNA(VLOOKUP("ZZZ",Lookup1!A:C,2,FALSE))</f>
        <v>0</v>
      </c>
      <c r="DP4">
        <f>ISREF(A4)</f>
        <v>0</v>
      </c>
      <c r="DQ4">
        <f>NA()</f>
        <v>0</v>
      </c>
      <c r="DR4">
        <f>TYPE(A4)</f>
        <v>0</v>
      </c>
      <c r="DS4">
        <f>PMT(0.05/12,360,-200000)</f>
        <v>0</v>
      </c>
      <c r="DT4">
        <f>PV(0.08/12,120,-500)</f>
        <v>0</v>
      </c>
      <c r="DU4">
        <f>FV(0.06/12,240,-200)</f>
        <v>0</v>
      </c>
      <c r="DV4">
        <f>NPV(0.1,A4,B4,C4)</f>
        <v>0</v>
      </c>
      <c r="DW4">
        <f>RATE(120,-500,50000)</f>
        <v>0</v>
      </c>
    </row>
    <row r="5" spans="1:127">
      <c r="A5">
        <v>100.0</v>
      </c>
      <c r="B5">
        <v>15.8</v>
      </c>
      <c r="C5">
        <v>5000.0</v>
      </c>
      <c r="D5" t="b">
        <v>1</v>
      </c>
      <c r="E5" t="s">
        <v>0</v>
      </c>
      <c r="F5" t="s">
        <v>146</v>
      </c>
      <c r="G5" s="1">
        <v>44927.0</v>
      </c>
      <c r="I5">
        <f>A5+B5</f>
        <v>0</v>
      </c>
      <c r="J5">
        <f>A5-B5</f>
        <v>0</v>
      </c>
      <c r="K5">
        <f>A5*B5</f>
        <v>0</v>
      </c>
      <c r="L5">
        <f>A5/B5</f>
        <v>0</v>
      </c>
      <c r="M5">
        <f>A5^2</f>
        <v>0</v>
      </c>
      <c r="N5">
        <f>E5&amp;F5</f>
        <v>0</v>
      </c>
      <c r="O5">
        <f>C5%</f>
        <v>0</v>
      </c>
      <c r="P5">
        <f>(A5=B5)</f>
        <v>0</v>
      </c>
      <c r="Q5">
        <f>(A5&lt;&gt;B5)</f>
        <v>0</v>
      </c>
      <c r="R5">
        <f>(A5&lt;B5)</f>
        <v>0</v>
      </c>
      <c r="S5">
        <f>(A5&gt;B5)</f>
        <v>0</v>
      </c>
      <c r="T5">
        <f>(A5&lt;=B5)</f>
        <v>0</v>
      </c>
      <c r="U5">
        <f>(A5&gt;=B5)</f>
        <v>0</v>
      </c>
      <c r="V5">
        <f>-A5</f>
        <v>0</v>
      </c>
      <c r="W5">
        <f>+A5</f>
        <v>0</v>
      </c>
      <c r="X5">
        <f>TRUE()</f>
        <v>0</v>
      </c>
      <c r="Y5">
        <f>FALSE()</f>
        <v>0</v>
      </c>
      <c r="Z5">
        <f>IF(A5&gt;50,"high","low")</f>
        <v>0</v>
      </c>
      <c r="AA5">
        <f>_xlfn.IFS(A5&gt;100,"A",A5&gt;50,"B",A5&gt;0,"C",TRUE,"D")</f>
        <v>0</v>
      </c>
      <c r="AB5" cm="1">
        <f t="array" ref="AB5">_xlfn.SWITCH(E5,"EMEA",1,"APAC",2,"AMER",3,0)</f>
        <v>0</v>
      </c>
      <c r="AC5">
        <f>IFERROR(A5/B5,-1)</f>
        <v>0</v>
      </c>
      <c r="AD5">
        <f>_xlfn.IFNA(VLOOKUP(E5,Lookup1!A:C,2,FALSE),"missing")</f>
        <v>0</v>
      </c>
      <c r="AE5">
        <f>AND(A5&gt;0,B5&gt;0)</f>
        <v>0</v>
      </c>
      <c r="AF5">
        <f>OR(A5&gt;100,B5&gt;10)</f>
        <v>0</v>
      </c>
      <c r="AG5">
        <f>NOT(D5)</f>
        <v>0</v>
      </c>
      <c r="AH5">
        <f>_xlfn.XOR(A5&gt;50,B5&gt;5)</f>
        <v>0</v>
      </c>
      <c r="AI5">
        <f>SUM(C:C)</f>
        <v>0</v>
      </c>
      <c r="AJ5">
        <f>SUMIF(AggSource!A:A,"EMEA",AggSource!B:B)</f>
        <v>0</v>
      </c>
      <c r="AK5">
        <f>SUMIFS(AggSource!B:B,AggSource!A:A,"EMEA",AggSource!C:C,"Sales")</f>
        <v>0</v>
      </c>
      <c r="AL5">
        <f>PRODUCT(2,3,4)</f>
        <v>0</v>
      </c>
      <c r="AM5">
        <f>COUNT(C:C)</f>
        <v>0</v>
      </c>
      <c r="AN5">
        <f>COUNTA(H:H)</f>
        <v>0</v>
      </c>
      <c r="AO5">
        <f>COUNTBLANK(H:H)</f>
        <v>0</v>
      </c>
      <c r="AP5">
        <f>COUNTIF(AggSource!A:A,"EMEA")</f>
        <v>0</v>
      </c>
      <c r="AQ5">
        <f>COUNTIFS(AggSource!A:A,"EMEA",AggSource!C:C,"Sales")</f>
        <v>0</v>
      </c>
      <c r="AR5">
        <f>AVERAGE(C:C)</f>
        <v>0</v>
      </c>
      <c r="AS5">
        <f>AVERAGEIF(AggSource!A:A,"APAC",AggSource!B:B)</f>
        <v>0</v>
      </c>
      <c r="AT5">
        <f>AVERAGEIFS(AggSource!B:B,AggSource!A:A,"EMEA",AggSource!C:C,"Sales")</f>
        <v>0</v>
      </c>
      <c r="AU5">
        <f>MIN(C:C)</f>
        <v>0</v>
      </c>
      <c r="AV5">
        <f>MAX(C:C)</f>
        <v>0</v>
      </c>
      <c r="AW5">
        <f>MEDIAN(C:C)</f>
        <v>0</v>
      </c>
      <c r="AX5">
        <f>_xlfn.MINIFS(AggSource!B:B,AggSource!A:A,"EMEA",AggSource!C:C,"Sales")</f>
        <v>0</v>
      </c>
      <c r="AY5">
        <f>_xlfn.MAXIFS(AggSource!B:B,AggSource!A:A,"EMEA",AggSource!C:C,"Sales")</f>
        <v>0</v>
      </c>
      <c r="AZ5">
        <f>VLOOKUP(E5,Lookup1!A:C,2,FALSE)</f>
        <v>0</v>
      </c>
      <c r="BA5">
        <f>HLOOKUP("Q2",HLookup!A1:D3,2,FALSE)</f>
        <v>0</v>
      </c>
      <c r="BB5" cm="1">
        <f t="array" ref="BB5">_xlfn.XLOOKUP(E5,Lookup1!A:A,Lookup1!B:B,"N/F")</f>
        <v>0</v>
      </c>
      <c r="BC5">
        <f>MATCH(E5,Lookup1!A:A,0)</f>
        <v>0</v>
      </c>
      <c r="BD5">
        <f>_xlfn.XMATCH(E5,Lookup1!A:A,0)</f>
        <v>0</v>
      </c>
      <c r="BE5">
        <f>INDEX(Lookup1!B:B,MATCH(E5,Lookup1!A:A,0))</f>
        <v>0</v>
      </c>
      <c r="BF5">
        <f>CHOOSE(2,"alpha","beta","gamma")</f>
        <v>0</v>
      </c>
      <c r="BG5">
        <f>LEFT(F5,3)</f>
        <v>0</v>
      </c>
      <c r="BH5">
        <f>RIGHT(F5,3)</f>
        <v>0</v>
      </c>
      <c r="BI5">
        <f>MID(F5,2,3)</f>
        <v>0</v>
      </c>
      <c r="BJ5">
        <f>LEN(F5)</f>
        <v>0</v>
      </c>
      <c r="BK5">
        <f>UPPER(F5)</f>
        <v>0</v>
      </c>
      <c r="BL5">
        <f>LOWER(F5)</f>
        <v>0</v>
      </c>
      <c r="BM5">
        <f>PROPER(F5)</f>
        <v>0</v>
      </c>
      <c r="BN5">
        <f>TRIM(F5)</f>
        <v>0</v>
      </c>
      <c r="BO5">
        <f>CLEAN(F5)</f>
        <v>0</v>
      </c>
      <c r="BP5">
        <f>_xlfn.CONCAT(E5,"-",F5)</f>
        <v>0</v>
      </c>
      <c r="BQ5">
        <f>CONCATENATE(E5,"-",F5)</f>
        <v>0</v>
      </c>
      <c r="BR5">
        <f>_xlfn.TEXTJOIN("-",TRUE,E5,F5)</f>
        <v>0</v>
      </c>
      <c r="BS5">
        <f>IFERROR(FIND("l",F5),0)</f>
        <v>0</v>
      </c>
      <c r="BT5">
        <f>IFERROR(SEARCH("L",F5),0)</f>
        <v>0</v>
      </c>
      <c r="BU5">
        <f>SUBSTITUTE(F5,"o","0")</f>
        <v>0</v>
      </c>
      <c r="BV5">
        <f>REPLACE(F5,1,1,"X")</f>
        <v>0</v>
      </c>
      <c r="BW5">
        <f>TEXT(C5,"0.00")</f>
        <v>0</v>
      </c>
      <c r="BX5">
        <f>VALUE("123.45")</f>
        <v>0</v>
      </c>
      <c r="BY5">
        <f>EXACT(F5,"hello")</f>
        <v>0</v>
      </c>
      <c r="BZ5">
        <f>ROUND(B5,1)</f>
        <v>0</v>
      </c>
      <c r="CA5">
        <f>ROUNDUP(B5,0)</f>
        <v>0</v>
      </c>
      <c r="CB5">
        <f>ROUNDDOWN(B5,0)</f>
        <v>0</v>
      </c>
      <c r="CC5">
        <f>INT(B5)</f>
        <v>0</v>
      </c>
      <c r="CD5">
        <f>MOD(A5,3)</f>
        <v>0</v>
      </c>
      <c r="CE5">
        <f>ABS(A5)</f>
        <v>0</v>
      </c>
      <c r="CF5">
        <f>SIGN(A5)</f>
        <v>0</v>
      </c>
      <c r="CG5">
        <f>SQRT(ABS(A5))</f>
        <v>0</v>
      </c>
      <c r="CH5">
        <f>POWER(ABS(A5),2)</f>
        <v>0</v>
      </c>
      <c r="CI5">
        <f>CEILING(B5,1)</f>
        <v>0</v>
      </c>
      <c r="CJ5">
        <f>FLOOR(B5,1)</f>
        <v>0</v>
      </c>
      <c r="CK5">
        <f>LN(ABS(A5)+1)</f>
        <v>0</v>
      </c>
      <c r="CL5">
        <f>LOG(ABS(A5)+1,10)</f>
        <v>0</v>
      </c>
      <c r="CM5">
        <f>LOG10(ABS(A5)+1)</f>
        <v>0</v>
      </c>
      <c r="CN5">
        <f>EXP(1)</f>
        <v>0</v>
      </c>
      <c r="CO5">
        <f>SIN(B5)</f>
        <v>0</v>
      </c>
      <c r="CP5">
        <f>COS(B5)</f>
        <v>0</v>
      </c>
      <c r="CQ5">
        <f>TAN(B5)</f>
        <v>0</v>
      </c>
      <c r="CR5">
        <f>ASIN(B5/100)</f>
        <v>0</v>
      </c>
      <c r="CS5">
        <f>ACOS(B5/100)</f>
        <v>0</v>
      </c>
      <c r="CT5">
        <f>ATAN(B5)</f>
        <v>0</v>
      </c>
      <c r="CU5">
        <f>ATAN2(A5,B5)</f>
        <v>0</v>
      </c>
      <c r="CV5">
        <f>PI()</f>
        <v>0</v>
      </c>
      <c r="CW5">
        <f>TODAY()</f>
        <v>0</v>
      </c>
      <c r="CX5">
        <f>NOW()</f>
        <v>0</v>
      </c>
      <c r="CY5">
        <f>DATE(2026,4,20)</f>
        <v>0</v>
      </c>
      <c r="CZ5">
        <f>YEAR(G5)</f>
        <v>0</v>
      </c>
      <c r="DA5">
        <f>MONTH(G5)</f>
        <v>0</v>
      </c>
      <c r="DB5">
        <f>DAY(G5)</f>
        <v>0</v>
      </c>
      <c r="DC5">
        <f>WEEKDAY(G5)</f>
        <v>0</v>
      </c>
      <c r="DD5">
        <f>EDATE(G5,3)</f>
        <v>0</v>
      </c>
      <c r="DE5">
        <f>EOMONTH(G5,0)</f>
        <v>0</v>
      </c>
      <c r="DF5">
        <f>DATEDIF(DATE(2020,1,1),G5,"d")</f>
        <v>0</v>
      </c>
      <c r="DG5">
        <f>NETWORKDAYS(DATE(2026,1,1),DATE(2026,1,31))</f>
        <v>0</v>
      </c>
      <c r="DH5">
        <f>WORKDAY(DATE(2026,1,1),10)</f>
        <v>0</v>
      </c>
      <c r="DI5">
        <f>ISBLANK(H5)</f>
        <v>0</v>
      </c>
      <c r="DJ5">
        <f>ISNUMBER(A5)</f>
        <v>0</v>
      </c>
      <c r="DK5">
        <f>ISTEXT(F5)</f>
        <v>0</v>
      </c>
      <c r="DL5">
        <f>ISLOGICAL(D5)</f>
        <v>0</v>
      </c>
      <c r="DM5">
        <f>ISNONTEXT(A5)</f>
        <v>0</v>
      </c>
      <c r="DN5">
        <f>ISERROR(1/0)</f>
        <v>0</v>
      </c>
      <c r="DO5">
        <f>ISNA(VLOOKUP("ZZZ",Lookup1!A:C,2,FALSE))</f>
        <v>0</v>
      </c>
      <c r="DP5">
        <f>ISREF(A5)</f>
        <v>0</v>
      </c>
      <c r="DQ5">
        <f>NA()</f>
        <v>0</v>
      </c>
      <c r="DR5">
        <f>TYPE(A5)</f>
        <v>0</v>
      </c>
      <c r="DS5">
        <f>PMT(0.05/12,360,-200000)</f>
        <v>0</v>
      </c>
      <c r="DT5">
        <f>PV(0.08/12,120,-500)</f>
        <v>0</v>
      </c>
      <c r="DU5">
        <f>FV(0.06/12,240,-200)</f>
        <v>0</v>
      </c>
      <c r="DV5">
        <f>NPV(0.1,A5,B5,C5)</f>
        <v>0</v>
      </c>
      <c r="DW5">
        <f>RATE(120,-500,50000)</f>
        <v>0</v>
      </c>
    </row>
    <row r="6" spans="1:127">
      <c r="A6">
        <v>-5.0</v>
      </c>
      <c r="B6">
        <v>-2.3</v>
      </c>
      <c r="C6">
        <v>150.0</v>
      </c>
      <c r="D6" t="b">
        <v>0</v>
      </c>
      <c r="E6" t="s">
        <v>2</v>
      </c>
      <c r="F6" t="s">
        <v>147</v>
      </c>
      <c r="G6" s="1">
        <v>45200.0</v>
      </c>
      <c r="H6" t="b">
        <v>1</v>
      </c>
      <c r="I6">
        <f>A6+B6</f>
        <v>0</v>
      </c>
      <c r="J6">
        <f>A6-B6</f>
        <v>0</v>
      </c>
      <c r="K6">
        <f>A6*B6</f>
        <v>0</v>
      </c>
      <c r="L6">
        <f>A6/B6</f>
        <v>0</v>
      </c>
      <c r="M6">
        <f>A6^2</f>
        <v>0</v>
      </c>
      <c r="N6">
        <f>E6&amp;F6</f>
        <v>0</v>
      </c>
      <c r="O6">
        <f>C6%</f>
        <v>0</v>
      </c>
      <c r="P6">
        <f>(A6=B6)</f>
        <v>0</v>
      </c>
      <c r="Q6">
        <f>(A6&lt;&gt;B6)</f>
        <v>0</v>
      </c>
      <c r="R6">
        <f>(A6&lt;B6)</f>
        <v>0</v>
      </c>
      <c r="S6">
        <f>(A6&gt;B6)</f>
        <v>0</v>
      </c>
      <c r="T6">
        <f>(A6&lt;=B6)</f>
        <v>0</v>
      </c>
      <c r="U6">
        <f>(A6&gt;=B6)</f>
        <v>0</v>
      </c>
      <c r="V6">
        <f>-A6</f>
        <v>0</v>
      </c>
      <c r="W6">
        <f>+A6</f>
        <v>0</v>
      </c>
      <c r="X6">
        <f>TRUE()</f>
        <v>0</v>
      </c>
      <c r="Y6">
        <f>FALSE()</f>
        <v>0</v>
      </c>
      <c r="Z6">
        <f>IF(A6&gt;50,"high","low")</f>
        <v>0</v>
      </c>
      <c r="AA6">
        <f>_xlfn.IFS(A6&gt;100,"A",A6&gt;50,"B",A6&gt;0,"C",TRUE,"D")</f>
        <v>0</v>
      </c>
      <c r="AB6" cm="1">
        <f t="array" ref="AB6">_xlfn.SWITCH(E6,"EMEA",1,"APAC",2,"AMER",3,0)</f>
        <v>0</v>
      </c>
      <c r="AC6">
        <f>IFERROR(A6/B6,-1)</f>
        <v>0</v>
      </c>
      <c r="AD6">
        <f>_xlfn.IFNA(VLOOKUP(E6,Lookup1!A:C,2,FALSE),"missing")</f>
        <v>0</v>
      </c>
      <c r="AE6">
        <f>AND(A6&gt;0,B6&gt;0)</f>
        <v>0</v>
      </c>
      <c r="AF6">
        <f>OR(A6&gt;100,B6&gt;10)</f>
        <v>0</v>
      </c>
      <c r="AG6">
        <f>NOT(D6)</f>
        <v>0</v>
      </c>
      <c r="AH6">
        <f>_xlfn.XOR(A6&gt;50,B6&gt;5)</f>
        <v>0</v>
      </c>
      <c r="AI6">
        <f>SUM(C:C)</f>
        <v>0</v>
      </c>
      <c r="AJ6">
        <f>SUMIF(AggSource!A:A,"EMEA",AggSource!B:B)</f>
        <v>0</v>
      </c>
      <c r="AK6">
        <f>SUMIFS(AggSource!B:B,AggSource!A:A,"EMEA",AggSource!C:C,"Sales")</f>
        <v>0</v>
      </c>
      <c r="AL6">
        <f>PRODUCT(2,3,4)</f>
        <v>0</v>
      </c>
      <c r="AM6">
        <f>COUNT(C:C)</f>
        <v>0</v>
      </c>
      <c r="AN6">
        <f>COUNTA(H:H)</f>
        <v>0</v>
      </c>
      <c r="AO6">
        <f>COUNTBLANK(H:H)</f>
        <v>0</v>
      </c>
      <c r="AP6">
        <f>COUNTIF(AggSource!A:A,"EMEA")</f>
        <v>0</v>
      </c>
      <c r="AQ6">
        <f>COUNTIFS(AggSource!A:A,"EMEA",AggSource!C:C,"Sales")</f>
        <v>0</v>
      </c>
      <c r="AR6">
        <f>AVERAGE(C:C)</f>
        <v>0</v>
      </c>
      <c r="AS6">
        <f>AVERAGEIF(AggSource!A:A,"APAC",AggSource!B:B)</f>
        <v>0</v>
      </c>
      <c r="AT6">
        <f>AVERAGEIFS(AggSource!B:B,AggSource!A:A,"EMEA",AggSource!C:C,"Sales")</f>
        <v>0</v>
      </c>
      <c r="AU6">
        <f>MIN(C:C)</f>
        <v>0</v>
      </c>
      <c r="AV6">
        <f>MAX(C:C)</f>
        <v>0</v>
      </c>
      <c r="AW6">
        <f>MEDIAN(C:C)</f>
        <v>0</v>
      </c>
      <c r="AX6">
        <f>_xlfn.MINIFS(AggSource!B:B,AggSource!A:A,"EMEA",AggSource!C:C,"Sales")</f>
        <v>0</v>
      </c>
      <c r="AY6">
        <f>_xlfn.MAXIFS(AggSource!B:B,AggSource!A:A,"EMEA",AggSource!C:C,"Sales")</f>
        <v>0</v>
      </c>
      <c r="AZ6">
        <f>VLOOKUP(E6,Lookup1!A:C,2,FALSE)</f>
        <v>0</v>
      </c>
      <c r="BA6">
        <f>HLOOKUP("Q2",HLookup!A1:D3,2,FALSE)</f>
        <v>0</v>
      </c>
      <c r="BB6" cm="1">
        <f t="array" ref="BB6">_xlfn.XLOOKUP(E6,Lookup1!A:A,Lookup1!B:B,"N/F")</f>
        <v>0</v>
      </c>
      <c r="BC6">
        <f>MATCH(E6,Lookup1!A:A,0)</f>
        <v>0</v>
      </c>
      <c r="BD6">
        <f>_xlfn.XMATCH(E6,Lookup1!A:A,0)</f>
        <v>0</v>
      </c>
      <c r="BE6">
        <f>INDEX(Lookup1!B:B,MATCH(E6,Lookup1!A:A,0))</f>
        <v>0</v>
      </c>
      <c r="BF6">
        <f>CHOOSE(2,"alpha","beta","gamma")</f>
        <v>0</v>
      </c>
      <c r="BG6">
        <f>LEFT(F6,3)</f>
        <v>0</v>
      </c>
      <c r="BH6">
        <f>RIGHT(F6,3)</f>
        <v>0</v>
      </c>
      <c r="BI6">
        <f>MID(F6,2,3)</f>
        <v>0</v>
      </c>
      <c r="BJ6">
        <f>LEN(F6)</f>
        <v>0</v>
      </c>
      <c r="BK6">
        <f>UPPER(F6)</f>
        <v>0</v>
      </c>
      <c r="BL6">
        <f>LOWER(F6)</f>
        <v>0</v>
      </c>
      <c r="BM6">
        <f>PROPER(F6)</f>
        <v>0</v>
      </c>
      <c r="BN6">
        <f>TRIM(F6)</f>
        <v>0</v>
      </c>
      <c r="BO6">
        <f>CLEAN(F6)</f>
        <v>0</v>
      </c>
      <c r="BP6">
        <f>_xlfn.CONCAT(E6,"-",F6)</f>
        <v>0</v>
      </c>
      <c r="BQ6">
        <f>CONCATENATE(E6,"-",F6)</f>
        <v>0</v>
      </c>
      <c r="BR6">
        <f>_xlfn.TEXTJOIN("-",TRUE,E6,F6)</f>
        <v>0</v>
      </c>
      <c r="BS6">
        <f>IFERROR(FIND("l",F6),0)</f>
        <v>0</v>
      </c>
      <c r="BT6">
        <f>IFERROR(SEARCH("L",F6),0)</f>
        <v>0</v>
      </c>
      <c r="BU6">
        <f>SUBSTITUTE(F6,"o","0")</f>
        <v>0</v>
      </c>
      <c r="BV6">
        <f>REPLACE(F6,1,1,"X")</f>
        <v>0</v>
      </c>
      <c r="BW6">
        <f>TEXT(C6,"0.00")</f>
        <v>0</v>
      </c>
      <c r="BX6">
        <f>VALUE("123.45")</f>
        <v>0</v>
      </c>
      <c r="BY6">
        <f>EXACT(F6,"hello")</f>
        <v>0</v>
      </c>
      <c r="BZ6">
        <f>ROUND(B6,1)</f>
        <v>0</v>
      </c>
      <c r="CA6">
        <f>ROUNDUP(B6,0)</f>
        <v>0</v>
      </c>
      <c r="CB6">
        <f>ROUNDDOWN(B6,0)</f>
        <v>0</v>
      </c>
      <c r="CC6">
        <f>INT(B6)</f>
        <v>0</v>
      </c>
      <c r="CD6">
        <f>MOD(A6,3)</f>
        <v>0</v>
      </c>
      <c r="CE6">
        <f>ABS(A6)</f>
        <v>0</v>
      </c>
      <c r="CF6">
        <f>SIGN(A6)</f>
        <v>0</v>
      </c>
      <c r="CG6">
        <f>SQRT(ABS(A6))</f>
        <v>0</v>
      </c>
      <c r="CH6">
        <f>POWER(ABS(A6),2)</f>
        <v>0</v>
      </c>
      <c r="CI6">
        <f>CEILING(B6,1)</f>
        <v>0</v>
      </c>
      <c r="CJ6">
        <f>FLOOR(B6,1)</f>
        <v>0</v>
      </c>
      <c r="CK6">
        <f>LN(ABS(A6)+1)</f>
        <v>0</v>
      </c>
      <c r="CL6">
        <f>LOG(ABS(A6)+1,10)</f>
        <v>0</v>
      </c>
      <c r="CM6">
        <f>LOG10(ABS(A6)+1)</f>
        <v>0</v>
      </c>
      <c r="CN6">
        <f>EXP(1)</f>
        <v>0</v>
      </c>
      <c r="CO6">
        <f>SIN(B6)</f>
        <v>0</v>
      </c>
      <c r="CP6">
        <f>COS(B6)</f>
        <v>0</v>
      </c>
      <c r="CQ6">
        <f>TAN(B6)</f>
        <v>0</v>
      </c>
      <c r="CR6">
        <f>ASIN(B6/100)</f>
        <v>0</v>
      </c>
      <c r="CS6">
        <f>ACOS(B6/100)</f>
        <v>0</v>
      </c>
      <c r="CT6">
        <f>ATAN(B6)</f>
        <v>0</v>
      </c>
      <c r="CU6">
        <f>ATAN2(A6,B6)</f>
        <v>0</v>
      </c>
      <c r="CV6">
        <f>PI()</f>
        <v>0</v>
      </c>
      <c r="CW6">
        <f>TODAY()</f>
        <v>0</v>
      </c>
      <c r="CX6">
        <f>NOW()</f>
        <v>0</v>
      </c>
      <c r="CY6">
        <f>DATE(2026,4,20)</f>
        <v>0</v>
      </c>
      <c r="CZ6">
        <f>YEAR(G6)</f>
        <v>0</v>
      </c>
      <c r="DA6">
        <f>MONTH(G6)</f>
        <v>0</v>
      </c>
      <c r="DB6">
        <f>DAY(G6)</f>
        <v>0</v>
      </c>
      <c r="DC6">
        <f>WEEKDAY(G6)</f>
        <v>0</v>
      </c>
      <c r="DD6">
        <f>EDATE(G6,3)</f>
        <v>0</v>
      </c>
      <c r="DE6">
        <f>EOMONTH(G6,0)</f>
        <v>0</v>
      </c>
      <c r="DF6">
        <f>DATEDIF(DATE(2020,1,1),G6,"d")</f>
        <v>0</v>
      </c>
      <c r="DG6">
        <f>NETWORKDAYS(DATE(2026,1,1),DATE(2026,1,31))</f>
        <v>0</v>
      </c>
      <c r="DH6">
        <f>WORKDAY(DATE(2026,1,1),10)</f>
        <v>0</v>
      </c>
      <c r="DI6">
        <f>ISBLANK(H6)</f>
        <v>0</v>
      </c>
      <c r="DJ6">
        <f>ISNUMBER(A6)</f>
        <v>0</v>
      </c>
      <c r="DK6">
        <f>ISTEXT(F6)</f>
        <v>0</v>
      </c>
      <c r="DL6">
        <f>ISLOGICAL(D6)</f>
        <v>0</v>
      </c>
      <c r="DM6">
        <f>ISNONTEXT(A6)</f>
        <v>0</v>
      </c>
      <c r="DN6">
        <f>ISERROR(1/0)</f>
        <v>0</v>
      </c>
      <c r="DO6">
        <f>ISNA(VLOOKUP("ZZZ",Lookup1!A:C,2,FALSE))</f>
        <v>0</v>
      </c>
      <c r="DP6">
        <f>ISREF(A6)</f>
        <v>0</v>
      </c>
      <c r="DQ6">
        <f>NA()</f>
        <v>0</v>
      </c>
      <c r="DR6">
        <f>TYPE(A6)</f>
        <v>0</v>
      </c>
      <c r="DS6">
        <f>PMT(0.05/12,360,-200000)</f>
        <v>0</v>
      </c>
      <c r="DT6">
        <f>PV(0.08/12,120,-500)</f>
        <v>0</v>
      </c>
      <c r="DU6">
        <f>FV(0.06/12,240,-200)</f>
        <v>0</v>
      </c>
      <c r="DV6">
        <f>NPV(0.1,A6,B6,C6)</f>
        <v>0</v>
      </c>
      <c r="DW6">
        <f>RATE(120,-500,50000)</f>
        <v>0</v>
      </c>
    </row>
    <row r="7" spans="1:127">
      <c r="A7">
        <v>50.0</v>
      </c>
      <c r="B7">
        <v>8.1</v>
      </c>
      <c r="C7">
        <v>3000.0</v>
      </c>
      <c r="D7" t="b">
        <v>0</v>
      </c>
      <c r="E7" t="s">
        <v>4</v>
      </c>
      <c r="F7" t="s">
        <v>148</v>
      </c>
      <c r="G7" s="1">
        <v>45300.0</v>
      </c>
      <c r="H7">
        <v>0.0</v>
      </c>
      <c r="I7">
        <f>A7+B7</f>
        <v>0</v>
      </c>
      <c r="J7">
        <f>A7-B7</f>
        <v>0</v>
      </c>
      <c r="K7">
        <f>A7*B7</f>
        <v>0</v>
      </c>
      <c r="L7">
        <f>A7/B7</f>
        <v>0</v>
      </c>
      <c r="M7">
        <f>A7^2</f>
        <v>0</v>
      </c>
      <c r="N7">
        <f>E7&amp;F7</f>
        <v>0</v>
      </c>
      <c r="O7">
        <f>C7%</f>
        <v>0</v>
      </c>
      <c r="P7">
        <f>(A7=B7)</f>
        <v>0</v>
      </c>
      <c r="Q7">
        <f>(A7&lt;&gt;B7)</f>
        <v>0</v>
      </c>
      <c r="R7">
        <f>(A7&lt;B7)</f>
        <v>0</v>
      </c>
      <c r="S7">
        <f>(A7&gt;B7)</f>
        <v>0</v>
      </c>
      <c r="T7">
        <f>(A7&lt;=B7)</f>
        <v>0</v>
      </c>
      <c r="U7">
        <f>(A7&gt;=B7)</f>
        <v>0</v>
      </c>
      <c r="V7">
        <f>-A7</f>
        <v>0</v>
      </c>
      <c r="W7">
        <f>+A7</f>
        <v>0</v>
      </c>
      <c r="X7">
        <f>TRUE()</f>
        <v>0</v>
      </c>
      <c r="Y7">
        <f>FALSE()</f>
        <v>0</v>
      </c>
      <c r="Z7">
        <f>IF(A7&gt;50,"high","low")</f>
        <v>0</v>
      </c>
      <c r="AA7">
        <f>_xlfn.IFS(A7&gt;100,"A",A7&gt;50,"B",A7&gt;0,"C",TRUE,"D")</f>
        <v>0</v>
      </c>
      <c r="AB7" cm="1">
        <f t="array" ref="AB7">_xlfn.SWITCH(E7,"EMEA",1,"APAC",2,"AMER",3,0)</f>
        <v>0</v>
      </c>
      <c r="AC7">
        <f>IFERROR(A7/B7,-1)</f>
        <v>0</v>
      </c>
      <c r="AD7">
        <f>_xlfn.IFNA(VLOOKUP(E7,Lookup1!A:C,2,FALSE),"missing")</f>
        <v>0</v>
      </c>
      <c r="AE7">
        <f>AND(A7&gt;0,B7&gt;0)</f>
        <v>0</v>
      </c>
      <c r="AF7">
        <f>OR(A7&gt;100,B7&gt;10)</f>
        <v>0</v>
      </c>
      <c r="AG7">
        <f>NOT(D7)</f>
        <v>0</v>
      </c>
      <c r="AH7">
        <f>_xlfn.XOR(A7&gt;50,B7&gt;5)</f>
        <v>0</v>
      </c>
      <c r="AI7">
        <f>SUM(C:C)</f>
        <v>0</v>
      </c>
      <c r="AJ7">
        <f>SUMIF(AggSource!A:A,"EMEA",AggSource!B:B)</f>
        <v>0</v>
      </c>
      <c r="AK7">
        <f>SUMIFS(AggSource!B:B,AggSource!A:A,"EMEA",AggSource!C:C,"Sales")</f>
        <v>0</v>
      </c>
      <c r="AL7">
        <f>PRODUCT(2,3,4)</f>
        <v>0</v>
      </c>
      <c r="AM7">
        <f>COUNT(C:C)</f>
        <v>0</v>
      </c>
      <c r="AN7">
        <f>COUNTA(H:H)</f>
        <v>0</v>
      </c>
      <c r="AO7">
        <f>COUNTBLANK(H:H)</f>
        <v>0</v>
      </c>
      <c r="AP7">
        <f>COUNTIF(AggSource!A:A,"EMEA")</f>
        <v>0</v>
      </c>
      <c r="AQ7">
        <f>COUNTIFS(AggSource!A:A,"EMEA",AggSource!C:C,"Sales")</f>
        <v>0</v>
      </c>
      <c r="AR7">
        <f>AVERAGE(C:C)</f>
        <v>0</v>
      </c>
      <c r="AS7">
        <f>AVERAGEIF(AggSource!A:A,"APAC",AggSource!B:B)</f>
        <v>0</v>
      </c>
      <c r="AT7">
        <f>AVERAGEIFS(AggSource!B:B,AggSource!A:A,"EMEA",AggSource!C:C,"Sales")</f>
        <v>0</v>
      </c>
      <c r="AU7">
        <f>MIN(C:C)</f>
        <v>0</v>
      </c>
      <c r="AV7">
        <f>MAX(C:C)</f>
        <v>0</v>
      </c>
      <c r="AW7">
        <f>MEDIAN(C:C)</f>
        <v>0</v>
      </c>
      <c r="AX7">
        <f>_xlfn.MINIFS(AggSource!B:B,AggSource!A:A,"EMEA",AggSource!C:C,"Sales")</f>
        <v>0</v>
      </c>
      <c r="AY7">
        <f>_xlfn.MAXIFS(AggSource!B:B,AggSource!A:A,"EMEA",AggSource!C:C,"Sales")</f>
        <v>0</v>
      </c>
      <c r="AZ7">
        <f>VLOOKUP(E7,Lookup1!A:C,2,FALSE)</f>
        <v>0</v>
      </c>
      <c r="BA7">
        <f>HLOOKUP("Q2",HLookup!A1:D3,2,FALSE)</f>
        <v>0</v>
      </c>
      <c r="BB7" cm="1">
        <f t="array" ref="BB7">_xlfn.XLOOKUP(E7,Lookup1!A:A,Lookup1!B:B,"N/F")</f>
        <v>0</v>
      </c>
      <c r="BC7">
        <f>MATCH(E7,Lookup1!A:A,0)</f>
        <v>0</v>
      </c>
      <c r="BD7">
        <f>_xlfn.XMATCH(E7,Lookup1!A:A,0)</f>
        <v>0</v>
      </c>
      <c r="BE7">
        <f>INDEX(Lookup1!B:B,MATCH(E7,Lookup1!A:A,0))</f>
        <v>0</v>
      </c>
      <c r="BF7">
        <f>CHOOSE(2,"alpha","beta","gamma")</f>
        <v>0</v>
      </c>
      <c r="BG7">
        <f>LEFT(F7,3)</f>
        <v>0</v>
      </c>
      <c r="BH7">
        <f>RIGHT(F7,3)</f>
        <v>0</v>
      </c>
      <c r="BI7">
        <f>MID(F7,2,3)</f>
        <v>0</v>
      </c>
      <c r="BJ7">
        <f>LEN(F7)</f>
        <v>0</v>
      </c>
      <c r="BK7">
        <f>UPPER(F7)</f>
        <v>0</v>
      </c>
      <c r="BL7">
        <f>LOWER(F7)</f>
        <v>0</v>
      </c>
      <c r="BM7">
        <f>PROPER(F7)</f>
        <v>0</v>
      </c>
      <c r="BN7">
        <f>TRIM(F7)</f>
        <v>0</v>
      </c>
      <c r="BO7">
        <f>CLEAN(F7)</f>
        <v>0</v>
      </c>
      <c r="BP7">
        <f>_xlfn.CONCAT(E7,"-",F7)</f>
        <v>0</v>
      </c>
      <c r="BQ7">
        <f>CONCATENATE(E7,"-",F7)</f>
        <v>0</v>
      </c>
      <c r="BR7">
        <f>_xlfn.TEXTJOIN("-",TRUE,E7,F7)</f>
        <v>0</v>
      </c>
      <c r="BS7">
        <f>IFERROR(FIND("l",F7),0)</f>
        <v>0</v>
      </c>
      <c r="BT7">
        <f>IFERROR(SEARCH("L",F7),0)</f>
        <v>0</v>
      </c>
      <c r="BU7">
        <f>SUBSTITUTE(F7,"o","0")</f>
        <v>0</v>
      </c>
      <c r="BV7">
        <f>REPLACE(F7,1,1,"X")</f>
        <v>0</v>
      </c>
      <c r="BW7">
        <f>TEXT(C7,"0.00")</f>
        <v>0</v>
      </c>
      <c r="BX7">
        <f>VALUE("123.45")</f>
        <v>0</v>
      </c>
      <c r="BY7">
        <f>EXACT(F7,"hello")</f>
        <v>0</v>
      </c>
      <c r="BZ7">
        <f>ROUND(B7,1)</f>
        <v>0</v>
      </c>
      <c r="CA7">
        <f>ROUNDUP(B7,0)</f>
        <v>0</v>
      </c>
      <c r="CB7">
        <f>ROUNDDOWN(B7,0)</f>
        <v>0</v>
      </c>
      <c r="CC7">
        <f>INT(B7)</f>
        <v>0</v>
      </c>
      <c r="CD7">
        <f>MOD(A7,3)</f>
        <v>0</v>
      </c>
      <c r="CE7">
        <f>ABS(A7)</f>
        <v>0</v>
      </c>
      <c r="CF7">
        <f>SIGN(A7)</f>
        <v>0</v>
      </c>
      <c r="CG7">
        <f>SQRT(ABS(A7))</f>
        <v>0</v>
      </c>
      <c r="CH7">
        <f>POWER(ABS(A7),2)</f>
        <v>0</v>
      </c>
      <c r="CI7">
        <f>CEILING(B7,1)</f>
        <v>0</v>
      </c>
      <c r="CJ7">
        <f>FLOOR(B7,1)</f>
        <v>0</v>
      </c>
      <c r="CK7">
        <f>LN(ABS(A7)+1)</f>
        <v>0</v>
      </c>
      <c r="CL7">
        <f>LOG(ABS(A7)+1,10)</f>
        <v>0</v>
      </c>
      <c r="CM7">
        <f>LOG10(ABS(A7)+1)</f>
        <v>0</v>
      </c>
      <c r="CN7">
        <f>EXP(1)</f>
        <v>0</v>
      </c>
      <c r="CO7">
        <f>SIN(B7)</f>
        <v>0</v>
      </c>
      <c r="CP7">
        <f>COS(B7)</f>
        <v>0</v>
      </c>
      <c r="CQ7">
        <f>TAN(B7)</f>
        <v>0</v>
      </c>
      <c r="CR7">
        <f>ASIN(B7/100)</f>
        <v>0</v>
      </c>
      <c r="CS7">
        <f>ACOS(B7/100)</f>
        <v>0</v>
      </c>
      <c r="CT7">
        <f>ATAN(B7)</f>
        <v>0</v>
      </c>
      <c r="CU7">
        <f>ATAN2(A7,B7)</f>
        <v>0</v>
      </c>
      <c r="CV7">
        <f>PI()</f>
        <v>0</v>
      </c>
      <c r="CW7">
        <f>TODAY()</f>
        <v>0</v>
      </c>
      <c r="CX7">
        <f>NOW()</f>
        <v>0</v>
      </c>
      <c r="CY7">
        <f>DATE(2026,4,20)</f>
        <v>0</v>
      </c>
      <c r="CZ7">
        <f>YEAR(G7)</f>
        <v>0</v>
      </c>
      <c r="DA7">
        <f>MONTH(G7)</f>
        <v>0</v>
      </c>
      <c r="DB7">
        <f>DAY(G7)</f>
        <v>0</v>
      </c>
      <c r="DC7">
        <f>WEEKDAY(G7)</f>
        <v>0</v>
      </c>
      <c r="DD7">
        <f>EDATE(G7,3)</f>
        <v>0</v>
      </c>
      <c r="DE7">
        <f>EOMONTH(G7,0)</f>
        <v>0</v>
      </c>
      <c r="DF7">
        <f>DATEDIF(DATE(2020,1,1),G7,"d")</f>
        <v>0</v>
      </c>
      <c r="DG7">
        <f>NETWORKDAYS(DATE(2026,1,1),DATE(2026,1,31))</f>
        <v>0</v>
      </c>
      <c r="DH7">
        <f>WORKDAY(DATE(2026,1,1),10)</f>
        <v>0</v>
      </c>
      <c r="DI7">
        <f>ISBLANK(H7)</f>
        <v>0</v>
      </c>
      <c r="DJ7">
        <f>ISNUMBER(A7)</f>
        <v>0</v>
      </c>
      <c r="DK7">
        <f>ISTEXT(F7)</f>
        <v>0</v>
      </c>
      <c r="DL7">
        <f>ISLOGICAL(D7)</f>
        <v>0</v>
      </c>
      <c r="DM7">
        <f>ISNONTEXT(A7)</f>
        <v>0</v>
      </c>
      <c r="DN7">
        <f>ISERROR(1/0)</f>
        <v>0</v>
      </c>
      <c r="DO7">
        <f>ISNA(VLOOKUP("ZZZ",Lookup1!A:C,2,FALSE))</f>
        <v>0</v>
      </c>
      <c r="DP7">
        <f>ISREF(A7)</f>
        <v>0</v>
      </c>
      <c r="DQ7">
        <f>NA()</f>
        <v>0</v>
      </c>
      <c r="DR7">
        <f>TYPE(A7)</f>
        <v>0</v>
      </c>
      <c r="DS7">
        <f>PMT(0.05/12,360,-200000)</f>
        <v>0</v>
      </c>
      <c r="DT7">
        <f>PV(0.08/12,120,-500)</f>
        <v>0</v>
      </c>
      <c r="DU7">
        <f>FV(0.06/12,240,-200)</f>
        <v>0</v>
      </c>
      <c r="DV7">
        <f>NPV(0.1,A7,B7,C7)</f>
        <v>0</v>
      </c>
      <c r="DW7">
        <f>RATE(120,-500,50000)</f>
        <v>0</v>
      </c>
    </row>
    <row r="8" spans="1:127">
      <c r="A8">
        <v>75.0</v>
      </c>
      <c r="B8">
        <v>4.6</v>
      </c>
      <c r="C8">
        <v>7500.0</v>
      </c>
      <c r="D8" t="b">
        <v>1</v>
      </c>
      <c r="E8" t="s">
        <v>0</v>
      </c>
      <c r="F8" t="s">
        <v>149</v>
      </c>
      <c r="G8" s="1">
        <v>44800.0</v>
      </c>
      <c r="I8">
        <f>A8+B8</f>
        <v>0</v>
      </c>
      <c r="J8">
        <f>A8-B8</f>
        <v>0</v>
      </c>
      <c r="K8">
        <f>A8*B8</f>
        <v>0</v>
      </c>
      <c r="L8">
        <f>A8/B8</f>
        <v>0</v>
      </c>
      <c r="M8">
        <f>A8^2</f>
        <v>0</v>
      </c>
      <c r="N8">
        <f>E8&amp;F8</f>
        <v>0</v>
      </c>
      <c r="O8">
        <f>C8%</f>
        <v>0</v>
      </c>
      <c r="P8">
        <f>(A8=B8)</f>
        <v>0</v>
      </c>
      <c r="Q8">
        <f>(A8&lt;&gt;B8)</f>
        <v>0</v>
      </c>
      <c r="R8">
        <f>(A8&lt;B8)</f>
        <v>0</v>
      </c>
      <c r="S8">
        <f>(A8&gt;B8)</f>
        <v>0</v>
      </c>
      <c r="T8">
        <f>(A8&lt;=B8)</f>
        <v>0</v>
      </c>
      <c r="U8">
        <f>(A8&gt;=B8)</f>
        <v>0</v>
      </c>
      <c r="V8">
        <f>-A8</f>
        <v>0</v>
      </c>
      <c r="W8">
        <f>+A8</f>
        <v>0</v>
      </c>
      <c r="X8">
        <f>TRUE()</f>
        <v>0</v>
      </c>
      <c r="Y8">
        <f>FALSE()</f>
        <v>0</v>
      </c>
      <c r="Z8">
        <f>IF(A8&gt;50,"high","low")</f>
        <v>0</v>
      </c>
      <c r="AA8">
        <f>_xlfn.IFS(A8&gt;100,"A",A8&gt;50,"B",A8&gt;0,"C",TRUE,"D")</f>
        <v>0</v>
      </c>
      <c r="AB8" cm="1">
        <f t="array" ref="AB8">_xlfn.SWITCH(E8,"EMEA",1,"APAC",2,"AMER",3,0)</f>
        <v>0</v>
      </c>
      <c r="AC8">
        <f>IFERROR(A8/B8,-1)</f>
        <v>0</v>
      </c>
      <c r="AD8">
        <f>_xlfn.IFNA(VLOOKUP(E8,Lookup1!A:C,2,FALSE),"missing")</f>
        <v>0</v>
      </c>
      <c r="AE8">
        <f>AND(A8&gt;0,B8&gt;0)</f>
        <v>0</v>
      </c>
      <c r="AF8">
        <f>OR(A8&gt;100,B8&gt;10)</f>
        <v>0</v>
      </c>
      <c r="AG8">
        <f>NOT(D8)</f>
        <v>0</v>
      </c>
      <c r="AH8">
        <f>_xlfn.XOR(A8&gt;50,B8&gt;5)</f>
        <v>0</v>
      </c>
      <c r="AI8">
        <f>SUM(C:C)</f>
        <v>0</v>
      </c>
      <c r="AJ8">
        <f>SUMIF(AggSource!A:A,"EMEA",AggSource!B:B)</f>
        <v>0</v>
      </c>
      <c r="AK8">
        <f>SUMIFS(AggSource!B:B,AggSource!A:A,"EMEA",AggSource!C:C,"Sales")</f>
        <v>0</v>
      </c>
      <c r="AL8">
        <f>PRODUCT(2,3,4)</f>
        <v>0</v>
      </c>
      <c r="AM8">
        <f>COUNT(C:C)</f>
        <v>0</v>
      </c>
      <c r="AN8">
        <f>COUNTA(H:H)</f>
        <v>0</v>
      </c>
      <c r="AO8">
        <f>COUNTBLANK(H:H)</f>
        <v>0</v>
      </c>
      <c r="AP8">
        <f>COUNTIF(AggSource!A:A,"EMEA")</f>
        <v>0</v>
      </c>
      <c r="AQ8">
        <f>COUNTIFS(AggSource!A:A,"EMEA",AggSource!C:C,"Sales")</f>
        <v>0</v>
      </c>
      <c r="AR8">
        <f>AVERAGE(C:C)</f>
        <v>0</v>
      </c>
      <c r="AS8">
        <f>AVERAGEIF(AggSource!A:A,"APAC",AggSource!B:B)</f>
        <v>0</v>
      </c>
      <c r="AT8">
        <f>AVERAGEIFS(AggSource!B:B,AggSource!A:A,"EMEA",AggSource!C:C,"Sales")</f>
        <v>0</v>
      </c>
      <c r="AU8">
        <f>MIN(C:C)</f>
        <v>0</v>
      </c>
      <c r="AV8">
        <f>MAX(C:C)</f>
        <v>0</v>
      </c>
      <c r="AW8">
        <f>MEDIAN(C:C)</f>
        <v>0</v>
      </c>
      <c r="AX8">
        <f>_xlfn.MINIFS(AggSource!B:B,AggSource!A:A,"EMEA",AggSource!C:C,"Sales")</f>
        <v>0</v>
      </c>
      <c r="AY8">
        <f>_xlfn.MAXIFS(AggSource!B:B,AggSource!A:A,"EMEA",AggSource!C:C,"Sales")</f>
        <v>0</v>
      </c>
      <c r="AZ8">
        <f>VLOOKUP(E8,Lookup1!A:C,2,FALSE)</f>
        <v>0</v>
      </c>
      <c r="BA8">
        <f>HLOOKUP("Q2",HLookup!A1:D3,2,FALSE)</f>
        <v>0</v>
      </c>
      <c r="BB8" cm="1">
        <f t="array" ref="BB8">_xlfn.XLOOKUP(E8,Lookup1!A:A,Lookup1!B:B,"N/F")</f>
        <v>0</v>
      </c>
      <c r="BC8">
        <f>MATCH(E8,Lookup1!A:A,0)</f>
        <v>0</v>
      </c>
      <c r="BD8">
        <f>_xlfn.XMATCH(E8,Lookup1!A:A,0)</f>
        <v>0</v>
      </c>
      <c r="BE8">
        <f>INDEX(Lookup1!B:B,MATCH(E8,Lookup1!A:A,0))</f>
        <v>0</v>
      </c>
      <c r="BF8">
        <f>CHOOSE(2,"alpha","beta","gamma")</f>
        <v>0</v>
      </c>
      <c r="BG8">
        <f>LEFT(F8,3)</f>
        <v>0</v>
      </c>
      <c r="BH8">
        <f>RIGHT(F8,3)</f>
        <v>0</v>
      </c>
      <c r="BI8">
        <f>MID(F8,2,3)</f>
        <v>0</v>
      </c>
      <c r="BJ8">
        <f>LEN(F8)</f>
        <v>0</v>
      </c>
      <c r="BK8">
        <f>UPPER(F8)</f>
        <v>0</v>
      </c>
      <c r="BL8">
        <f>LOWER(F8)</f>
        <v>0</v>
      </c>
      <c r="BM8">
        <f>PROPER(F8)</f>
        <v>0</v>
      </c>
      <c r="BN8">
        <f>TRIM(F8)</f>
        <v>0</v>
      </c>
      <c r="BO8">
        <f>CLEAN(F8)</f>
        <v>0</v>
      </c>
      <c r="BP8">
        <f>_xlfn.CONCAT(E8,"-",F8)</f>
        <v>0</v>
      </c>
      <c r="BQ8">
        <f>CONCATENATE(E8,"-",F8)</f>
        <v>0</v>
      </c>
      <c r="BR8">
        <f>_xlfn.TEXTJOIN("-",TRUE,E8,F8)</f>
        <v>0</v>
      </c>
      <c r="BS8">
        <f>IFERROR(FIND("l",F8),0)</f>
        <v>0</v>
      </c>
      <c r="BT8">
        <f>IFERROR(SEARCH("L",F8),0)</f>
        <v>0</v>
      </c>
      <c r="BU8">
        <f>SUBSTITUTE(F8,"o","0")</f>
        <v>0</v>
      </c>
      <c r="BV8">
        <f>REPLACE(F8,1,1,"X")</f>
        <v>0</v>
      </c>
      <c r="BW8">
        <f>TEXT(C8,"0.00")</f>
        <v>0</v>
      </c>
      <c r="BX8">
        <f>VALUE("123.45")</f>
        <v>0</v>
      </c>
      <c r="BY8">
        <f>EXACT(F8,"hello")</f>
        <v>0</v>
      </c>
      <c r="BZ8">
        <f>ROUND(B8,1)</f>
        <v>0</v>
      </c>
      <c r="CA8">
        <f>ROUNDUP(B8,0)</f>
        <v>0</v>
      </c>
      <c r="CB8">
        <f>ROUNDDOWN(B8,0)</f>
        <v>0</v>
      </c>
      <c r="CC8">
        <f>INT(B8)</f>
        <v>0</v>
      </c>
      <c r="CD8">
        <f>MOD(A8,3)</f>
        <v>0</v>
      </c>
      <c r="CE8">
        <f>ABS(A8)</f>
        <v>0</v>
      </c>
      <c r="CF8">
        <f>SIGN(A8)</f>
        <v>0</v>
      </c>
      <c r="CG8">
        <f>SQRT(ABS(A8))</f>
        <v>0</v>
      </c>
      <c r="CH8">
        <f>POWER(ABS(A8),2)</f>
        <v>0</v>
      </c>
      <c r="CI8">
        <f>CEILING(B8,1)</f>
        <v>0</v>
      </c>
      <c r="CJ8">
        <f>FLOOR(B8,1)</f>
        <v>0</v>
      </c>
      <c r="CK8">
        <f>LN(ABS(A8)+1)</f>
        <v>0</v>
      </c>
      <c r="CL8">
        <f>LOG(ABS(A8)+1,10)</f>
        <v>0</v>
      </c>
      <c r="CM8">
        <f>LOG10(ABS(A8)+1)</f>
        <v>0</v>
      </c>
      <c r="CN8">
        <f>EXP(1)</f>
        <v>0</v>
      </c>
      <c r="CO8">
        <f>SIN(B8)</f>
        <v>0</v>
      </c>
      <c r="CP8">
        <f>COS(B8)</f>
        <v>0</v>
      </c>
      <c r="CQ8">
        <f>TAN(B8)</f>
        <v>0</v>
      </c>
      <c r="CR8">
        <f>ASIN(B8/100)</f>
        <v>0</v>
      </c>
      <c r="CS8">
        <f>ACOS(B8/100)</f>
        <v>0</v>
      </c>
      <c r="CT8">
        <f>ATAN(B8)</f>
        <v>0</v>
      </c>
      <c r="CU8">
        <f>ATAN2(A8,B8)</f>
        <v>0</v>
      </c>
      <c r="CV8">
        <f>PI()</f>
        <v>0</v>
      </c>
      <c r="CW8">
        <f>TODAY()</f>
        <v>0</v>
      </c>
      <c r="CX8">
        <f>NOW()</f>
        <v>0</v>
      </c>
      <c r="CY8">
        <f>DATE(2026,4,20)</f>
        <v>0</v>
      </c>
      <c r="CZ8">
        <f>YEAR(G8)</f>
        <v>0</v>
      </c>
      <c r="DA8">
        <f>MONTH(G8)</f>
        <v>0</v>
      </c>
      <c r="DB8">
        <f>DAY(G8)</f>
        <v>0</v>
      </c>
      <c r="DC8">
        <f>WEEKDAY(G8)</f>
        <v>0</v>
      </c>
      <c r="DD8">
        <f>EDATE(G8,3)</f>
        <v>0</v>
      </c>
      <c r="DE8">
        <f>EOMONTH(G8,0)</f>
        <v>0</v>
      </c>
      <c r="DF8">
        <f>DATEDIF(DATE(2020,1,1),G8,"d")</f>
        <v>0</v>
      </c>
      <c r="DG8">
        <f>NETWORKDAYS(DATE(2026,1,1),DATE(2026,1,31))</f>
        <v>0</v>
      </c>
      <c r="DH8">
        <f>WORKDAY(DATE(2026,1,1),10)</f>
        <v>0</v>
      </c>
      <c r="DI8">
        <f>ISBLANK(H8)</f>
        <v>0</v>
      </c>
      <c r="DJ8">
        <f>ISNUMBER(A8)</f>
        <v>0</v>
      </c>
      <c r="DK8">
        <f>ISTEXT(F8)</f>
        <v>0</v>
      </c>
      <c r="DL8">
        <f>ISLOGICAL(D8)</f>
        <v>0</v>
      </c>
      <c r="DM8">
        <f>ISNONTEXT(A8)</f>
        <v>0</v>
      </c>
      <c r="DN8">
        <f>ISERROR(1/0)</f>
        <v>0</v>
      </c>
      <c r="DO8">
        <f>ISNA(VLOOKUP("ZZZ",Lookup1!A:C,2,FALSE))</f>
        <v>0</v>
      </c>
      <c r="DP8">
        <f>ISREF(A8)</f>
        <v>0</v>
      </c>
      <c r="DQ8">
        <f>NA()</f>
        <v>0</v>
      </c>
      <c r="DR8">
        <f>TYPE(A8)</f>
        <v>0</v>
      </c>
      <c r="DS8">
        <f>PMT(0.05/12,360,-200000)</f>
        <v>0</v>
      </c>
      <c r="DT8">
        <f>PV(0.08/12,120,-500)</f>
        <v>0</v>
      </c>
      <c r="DU8">
        <f>FV(0.06/12,240,-200)</f>
        <v>0</v>
      </c>
      <c r="DV8">
        <f>NPV(0.1,A8,B8,C8)</f>
        <v>0</v>
      </c>
      <c r="DW8">
        <f>RATE(120,-500,50000)</f>
        <v>0</v>
      </c>
    </row>
    <row r="9" spans="1:127">
      <c r="A9">
        <v>1.0</v>
      </c>
      <c r="B9">
        <v>0.5</v>
      </c>
      <c r="C9">
        <v>250.0</v>
      </c>
      <c r="D9" t="b">
        <v>0</v>
      </c>
      <c r="E9" t="s">
        <v>2</v>
      </c>
      <c r="F9" t="s">
        <v>150</v>
      </c>
      <c r="G9" s="1">
        <v>45100.0</v>
      </c>
      <c r="H9" t="s">
        <v>151</v>
      </c>
      <c r="I9">
        <f>A9+B9</f>
        <v>0</v>
      </c>
      <c r="J9">
        <f>A9-B9</f>
        <v>0</v>
      </c>
      <c r="K9">
        <f>A9*B9</f>
        <v>0</v>
      </c>
      <c r="L9">
        <f>A9/B9</f>
        <v>0</v>
      </c>
      <c r="M9">
        <f>A9^2</f>
        <v>0</v>
      </c>
      <c r="N9">
        <f>E9&amp;F9</f>
        <v>0</v>
      </c>
      <c r="O9">
        <f>C9%</f>
        <v>0</v>
      </c>
      <c r="P9">
        <f>(A9=B9)</f>
        <v>0</v>
      </c>
      <c r="Q9">
        <f>(A9&lt;&gt;B9)</f>
        <v>0</v>
      </c>
      <c r="R9">
        <f>(A9&lt;B9)</f>
        <v>0</v>
      </c>
      <c r="S9">
        <f>(A9&gt;B9)</f>
        <v>0</v>
      </c>
      <c r="T9">
        <f>(A9&lt;=B9)</f>
        <v>0</v>
      </c>
      <c r="U9">
        <f>(A9&gt;=B9)</f>
        <v>0</v>
      </c>
      <c r="V9">
        <f>-A9</f>
        <v>0</v>
      </c>
      <c r="W9">
        <f>+A9</f>
        <v>0</v>
      </c>
      <c r="X9">
        <f>TRUE()</f>
        <v>0</v>
      </c>
      <c r="Y9">
        <f>FALSE()</f>
        <v>0</v>
      </c>
      <c r="Z9">
        <f>IF(A9&gt;50,"high","low")</f>
        <v>0</v>
      </c>
      <c r="AA9">
        <f>_xlfn.IFS(A9&gt;100,"A",A9&gt;50,"B",A9&gt;0,"C",TRUE,"D")</f>
        <v>0</v>
      </c>
      <c r="AB9" cm="1">
        <f t="array" ref="AB9">_xlfn.SWITCH(E9,"EMEA",1,"APAC",2,"AMER",3,0)</f>
        <v>0</v>
      </c>
      <c r="AC9">
        <f>IFERROR(A9/B9,-1)</f>
        <v>0</v>
      </c>
      <c r="AD9">
        <f>_xlfn.IFNA(VLOOKUP(E9,Lookup1!A:C,2,FALSE),"missing")</f>
        <v>0</v>
      </c>
      <c r="AE9">
        <f>AND(A9&gt;0,B9&gt;0)</f>
        <v>0</v>
      </c>
      <c r="AF9">
        <f>OR(A9&gt;100,B9&gt;10)</f>
        <v>0</v>
      </c>
      <c r="AG9">
        <f>NOT(D9)</f>
        <v>0</v>
      </c>
      <c r="AH9">
        <f>_xlfn.XOR(A9&gt;50,B9&gt;5)</f>
        <v>0</v>
      </c>
      <c r="AI9">
        <f>SUM(C:C)</f>
        <v>0</v>
      </c>
      <c r="AJ9">
        <f>SUMIF(AggSource!A:A,"EMEA",AggSource!B:B)</f>
        <v>0</v>
      </c>
      <c r="AK9">
        <f>SUMIFS(AggSource!B:B,AggSource!A:A,"EMEA",AggSource!C:C,"Sales")</f>
        <v>0</v>
      </c>
      <c r="AL9">
        <f>PRODUCT(2,3,4)</f>
        <v>0</v>
      </c>
      <c r="AM9">
        <f>COUNT(C:C)</f>
        <v>0</v>
      </c>
      <c r="AN9">
        <f>COUNTA(H:H)</f>
        <v>0</v>
      </c>
      <c r="AO9">
        <f>COUNTBLANK(H:H)</f>
        <v>0</v>
      </c>
      <c r="AP9">
        <f>COUNTIF(AggSource!A:A,"EMEA")</f>
        <v>0</v>
      </c>
      <c r="AQ9">
        <f>COUNTIFS(AggSource!A:A,"EMEA",AggSource!C:C,"Sales")</f>
        <v>0</v>
      </c>
      <c r="AR9">
        <f>AVERAGE(C:C)</f>
        <v>0</v>
      </c>
      <c r="AS9">
        <f>AVERAGEIF(AggSource!A:A,"APAC",AggSource!B:B)</f>
        <v>0</v>
      </c>
      <c r="AT9">
        <f>AVERAGEIFS(AggSource!B:B,AggSource!A:A,"EMEA",AggSource!C:C,"Sales")</f>
        <v>0</v>
      </c>
      <c r="AU9">
        <f>MIN(C:C)</f>
        <v>0</v>
      </c>
      <c r="AV9">
        <f>MAX(C:C)</f>
        <v>0</v>
      </c>
      <c r="AW9">
        <f>MEDIAN(C:C)</f>
        <v>0</v>
      </c>
      <c r="AX9">
        <f>_xlfn.MINIFS(AggSource!B:B,AggSource!A:A,"EMEA",AggSource!C:C,"Sales")</f>
        <v>0</v>
      </c>
      <c r="AY9">
        <f>_xlfn.MAXIFS(AggSource!B:B,AggSource!A:A,"EMEA",AggSource!C:C,"Sales")</f>
        <v>0</v>
      </c>
      <c r="AZ9">
        <f>VLOOKUP(E9,Lookup1!A:C,2,FALSE)</f>
        <v>0</v>
      </c>
      <c r="BA9">
        <f>HLOOKUP("Q2",HLookup!A1:D3,2,FALSE)</f>
        <v>0</v>
      </c>
      <c r="BB9" cm="1">
        <f t="array" ref="BB9">_xlfn.XLOOKUP(E9,Lookup1!A:A,Lookup1!B:B,"N/F")</f>
        <v>0</v>
      </c>
      <c r="BC9">
        <f>MATCH(E9,Lookup1!A:A,0)</f>
        <v>0</v>
      </c>
      <c r="BD9">
        <f>_xlfn.XMATCH(E9,Lookup1!A:A,0)</f>
        <v>0</v>
      </c>
      <c r="BE9">
        <f>INDEX(Lookup1!B:B,MATCH(E9,Lookup1!A:A,0))</f>
        <v>0</v>
      </c>
      <c r="BF9">
        <f>CHOOSE(2,"alpha","beta","gamma")</f>
        <v>0</v>
      </c>
      <c r="BG9">
        <f>LEFT(F9,3)</f>
        <v>0</v>
      </c>
      <c r="BH9">
        <f>RIGHT(F9,3)</f>
        <v>0</v>
      </c>
      <c r="BI9">
        <f>MID(F9,2,3)</f>
        <v>0</v>
      </c>
      <c r="BJ9">
        <f>LEN(F9)</f>
        <v>0</v>
      </c>
      <c r="BK9">
        <f>UPPER(F9)</f>
        <v>0</v>
      </c>
      <c r="BL9">
        <f>LOWER(F9)</f>
        <v>0</v>
      </c>
      <c r="BM9">
        <f>PROPER(F9)</f>
        <v>0</v>
      </c>
      <c r="BN9">
        <f>TRIM(F9)</f>
        <v>0</v>
      </c>
      <c r="BO9">
        <f>CLEAN(F9)</f>
        <v>0</v>
      </c>
      <c r="BP9">
        <f>_xlfn.CONCAT(E9,"-",F9)</f>
        <v>0</v>
      </c>
      <c r="BQ9">
        <f>CONCATENATE(E9,"-",F9)</f>
        <v>0</v>
      </c>
      <c r="BR9">
        <f>_xlfn.TEXTJOIN("-",TRUE,E9,F9)</f>
        <v>0</v>
      </c>
      <c r="BS9">
        <f>IFERROR(FIND("l",F9),0)</f>
        <v>0</v>
      </c>
      <c r="BT9">
        <f>IFERROR(SEARCH("L",F9),0)</f>
        <v>0</v>
      </c>
      <c r="BU9">
        <f>SUBSTITUTE(F9,"o","0")</f>
        <v>0</v>
      </c>
      <c r="BV9">
        <f>REPLACE(F9,1,1,"X")</f>
        <v>0</v>
      </c>
      <c r="BW9">
        <f>TEXT(C9,"0.00")</f>
        <v>0</v>
      </c>
      <c r="BX9">
        <f>VALUE("123.45")</f>
        <v>0</v>
      </c>
      <c r="BY9">
        <f>EXACT(F9,"hello")</f>
        <v>0</v>
      </c>
      <c r="BZ9">
        <f>ROUND(B9,1)</f>
        <v>0</v>
      </c>
      <c r="CA9">
        <f>ROUNDUP(B9,0)</f>
        <v>0</v>
      </c>
      <c r="CB9">
        <f>ROUNDDOWN(B9,0)</f>
        <v>0</v>
      </c>
      <c r="CC9">
        <f>INT(B9)</f>
        <v>0</v>
      </c>
      <c r="CD9">
        <f>MOD(A9,3)</f>
        <v>0</v>
      </c>
      <c r="CE9">
        <f>ABS(A9)</f>
        <v>0</v>
      </c>
      <c r="CF9">
        <f>SIGN(A9)</f>
        <v>0</v>
      </c>
      <c r="CG9">
        <f>SQRT(ABS(A9))</f>
        <v>0</v>
      </c>
      <c r="CH9">
        <f>POWER(ABS(A9),2)</f>
        <v>0</v>
      </c>
      <c r="CI9">
        <f>CEILING(B9,1)</f>
        <v>0</v>
      </c>
      <c r="CJ9">
        <f>FLOOR(B9,1)</f>
        <v>0</v>
      </c>
      <c r="CK9">
        <f>LN(ABS(A9)+1)</f>
        <v>0</v>
      </c>
      <c r="CL9">
        <f>LOG(ABS(A9)+1,10)</f>
        <v>0</v>
      </c>
      <c r="CM9">
        <f>LOG10(ABS(A9)+1)</f>
        <v>0</v>
      </c>
      <c r="CN9">
        <f>EXP(1)</f>
        <v>0</v>
      </c>
      <c r="CO9">
        <f>SIN(B9)</f>
        <v>0</v>
      </c>
      <c r="CP9">
        <f>COS(B9)</f>
        <v>0</v>
      </c>
      <c r="CQ9">
        <f>TAN(B9)</f>
        <v>0</v>
      </c>
      <c r="CR9">
        <f>ASIN(B9/100)</f>
        <v>0</v>
      </c>
      <c r="CS9">
        <f>ACOS(B9/100)</f>
        <v>0</v>
      </c>
      <c r="CT9">
        <f>ATAN(B9)</f>
        <v>0</v>
      </c>
      <c r="CU9">
        <f>ATAN2(A9,B9)</f>
        <v>0</v>
      </c>
      <c r="CV9">
        <f>PI()</f>
        <v>0</v>
      </c>
      <c r="CW9">
        <f>TODAY()</f>
        <v>0</v>
      </c>
      <c r="CX9">
        <f>NOW()</f>
        <v>0</v>
      </c>
      <c r="CY9">
        <f>DATE(2026,4,20)</f>
        <v>0</v>
      </c>
      <c r="CZ9">
        <f>YEAR(G9)</f>
        <v>0</v>
      </c>
      <c r="DA9">
        <f>MONTH(G9)</f>
        <v>0</v>
      </c>
      <c r="DB9">
        <f>DAY(G9)</f>
        <v>0</v>
      </c>
      <c r="DC9">
        <f>WEEKDAY(G9)</f>
        <v>0</v>
      </c>
      <c r="DD9">
        <f>EDATE(G9,3)</f>
        <v>0</v>
      </c>
      <c r="DE9">
        <f>EOMONTH(G9,0)</f>
        <v>0</v>
      </c>
      <c r="DF9">
        <f>DATEDIF(DATE(2020,1,1),G9,"d")</f>
        <v>0</v>
      </c>
      <c r="DG9">
        <f>NETWORKDAYS(DATE(2026,1,1),DATE(2026,1,31))</f>
        <v>0</v>
      </c>
      <c r="DH9">
        <f>WORKDAY(DATE(2026,1,1),10)</f>
        <v>0</v>
      </c>
      <c r="DI9">
        <f>ISBLANK(H9)</f>
        <v>0</v>
      </c>
      <c r="DJ9">
        <f>ISNUMBER(A9)</f>
        <v>0</v>
      </c>
      <c r="DK9">
        <f>ISTEXT(F9)</f>
        <v>0</v>
      </c>
      <c r="DL9">
        <f>ISLOGICAL(D9)</f>
        <v>0</v>
      </c>
      <c r="DM9">
        <f>ISNONTEXT(A9)</f>
        <v>0</v>
      </c>
      <c r="DN9">
        <f>ISERROR(1/0)</f>
        <v>0</v>
      </c>
      <c r="DO9">
        <f>ISNA(VLOOKUP("ZZZ",Lookup1!A:C,2,FALSE))</f>
        <v>0</v>
      </c>
      <c r="DP9">
        <f>ISREF(A9)</f>
        <v>0</v>
      </c>
      <c r="DQ9">
        <f>NA()</f>
        <v>0</v>
      </c>
      <c r="DR9">
        <f>TYPE(A9)</f>
        <v>0</v>
      </c>
      <c r="DS9">
        <f>PMT(0.05/12,360,-200000)</f>
        <v>0</v>
      </c>
      <c r="DT9">
        <f>PV(0.08/12,120,-500)</f>
        <v>0</v>
      </c>
      <c r="DU9">
        <f>FV(0.06/12,240,-200)</f>
        <v>0</v>
      </c>
      <c r="DV9">
        <f>NPV(0.1,A9,B9,C9)</f>
        <v>0</v>
      </c>
      <c r="DW9">
        <f>RATE(120,-500,50000)</f>
        <v>0</v>
      </c>
    </row>
    <row r="10" spans="1:127">
      <c r="A10">
        <v>999.0</v>
      </c>
      <c r="B10">
        <v>12.4</v>
      </c>
      <c r="C10">
        <v>4000.0</v>
      </c>
      <c r="D10" t="b">
        <v>1</v>
      </c>
      <c r="E10" t="s">
        <v>4</v>
      </c>
      <c r="F10" t="s">
        <v>152</v>
      </c>
      <c r="G10" s="1">
        <v>45400.0</v>
      </c>
      <c r="H10">
        <v>100.0</v>
      </c>
      <c r="I10">
        <f>A10+B10</f>
        <v>0</v>
      </c>
      <c r="J10">
        <f>A10-B10</f>
        <v>0</v>
      </c>
      <c r="K10">
        <f>A10*B10</f>
        <v>0</v>
      </c>
      <c r="L10">
        <f>A10/B10</f>
        <v>0</v>
      </c>
      <c r="M10">
        <f>A10^2</f>
        <v>0</v>
      </c>
      <c r="N10">
        <f>E10&amp;F10</f>
        <v>0</v>
      </c>
      <c r="O10">
        <f>C10%</f>
        <v>0</v>
      </c>
      <c r="P10">
        <f>(A10=B10)</f>
        <v>0</v>
      </c>
      <c r="Q10">
        <f>(A10&lt;&gt;B10)</f>
        <v>0</v>
      </c>
      <c r="R10">
        <f>(A10&lt;B10)</f>
        <v>0</v>
      </c>
      <c r="S10">
        <f>(A10&gt;B10)</f>
        <v>0</v>
      </c>
      <c r="T10">
        <f>(A10&lt;=B10)</f>
        <v>0</v>
      </c>
      <c r="U10">
        <f>(A10&gt;=B10)</f>
        <v>0</v>
      </c>
      <c r="V10">
        <f>-A10</f>
        <v>0</v>
      </c>
      <c r="W10">
        <f>+A10</f>
        <v>0</v>
      </c>
      <c r="X10">
        <f>TRUE()</f>
        <v>0</v>
      </c>
      <c r="Y10">
        <f>FALSE()</f>
        <v>0</v>
      </c>
      <c r="Z10">
        <f>IF(A10&gt;50,"high","low")</f>
        <v>0</v>
      </c>
      <c r="AA10">
        <f>_xlfn.IFS(A10&gt;100,"A",A10&gt;50,"B",A10&gt;0,"C",TRUE,"D")</f>
        <v>0</v>
      </c>
      <c r="AB10" cm="1">
        <f t="array" ref="AB10">_xlfn.SWITCH(E10,"EMEA",1,"APAC",2,"AMER",3,0)</f>
        <v>0</v>
      </c>
      <c r="AC10">
        <f>IFERROR(A10/B10,-1)</f>
        <v>0</v>
      </c>
      <c r="AD10">
        <f>_xlfn.IFNA(VLOOKUP(E10,Lookup1!A:C,2,FALSE),"missing")</f>
        <v>0</v>
      </c>
      <c r="AE10">
        <f>AND(A10&gt;0,B10&gt;0)</f>
        <v>0</v>
      </c>
      <c r="AF10">
        <f>OR(A10&gt;100,B10&gt;10)</f>
        <v>0</v>
      </c>
      <c r="AG10">
        <f>NOT(D10)</f>
        <v>0</v>
      </c>
      <c r="AH10">
        <f>_xlfn.XOR(A10&gt;50,B10&gt;5)</f>
        <v>0</v>
      </c>
      <c r="AI10">
        <f>SUM(C:C)</f>
        <v>0</v>
      </c>
      <c r="AJ10">
        <f>SUMIF(AggSource!A:A,"EMEA",AggSource!B:B)</f>
        <v>0</v>
      </c>
      <c r="AK10">
        <f>SUMIFS(AggSource!B:B,AggSource!A:A,"EMEA",AggSource!C:C,"Sales")</f>
        <v>0</v>
      </c>
      <c r="AL10">
        <f>PRODUCT(2,3,4)</f>
        <v>0</v>
      </c>
      <c r="AM10">
        <f>COUNT(C:C)</f>
        <v>0</v>
      </c>
      <c r="AN10">
        <f>COUNTA(H:H)</f>
        <v>0</v>
      </c>
      <c r="AO10">
        <f>COUNTBLANK(H:H)</f>
        <v>0</v>
      </c>
      <c r="AP10">
        <f>COUNTIF(AggSource!A:A,"EMEA")</f>
        <v>0</v>
      </c>
      <c r="AQ10">
        <f>COUNTIFS(AggSource!A:A,"EMEA",AggSource!C:C,"Sales")</f>
        <v>0</v>
      </c>
      <c r="AR10">
        <f>AVERAGE(C:C)</f>
        <v>0</v>
      </c>
      <c r="AS10">
        <f>AVERAGEIF(AggSource!A:A,"APAC",AggSource!B:B)</f>
        <v>0</v>
      </c>
      <c r="AT10">
        <f>AVERAGEIFS(AggSource!B:B,AggSource!A:A,"EMEA",AggSource!C:C,"Sales")</f>
        <v>0</v>
      </c>
      <c r="AU10">
        <f>MIN(C:C)</f>
        <v>0</v>
      </c>
      <c r="AV10">
        <f>MAX(C:C)</f>
        <v>0</v>
      </c>
      <c r="AW10">
        <f>MEDIAN(C:C)</f>
        <v>0</v>
      </c>
      <c r="AX10">
        <f>_xlfn.MINIFS(AggSource!B:B,AggSource!A:A,"EMEA",AggSource!C:C,"Sales")</f>
        <v>0</v>
      </c>
      <c r="AY10">
        <f>_xlfn.MAXIFS(AggSource!B:B,AggSource!A:A,"EMEA",AggSource!C:C,"Sales")</f>
        <v>0</v>
      </c>
      <c r="AZ10">
        <f>VLOOKUP(E10,Lookup1!A:C,2,FALSE)</f>
        <v>0</v>
      </c>
      <c r="BA10">
        <f>HLOOKUP("Q2",HLookup!A1:D3,2,FALSE)</f>
        <v>0</v>
      </c>
      <c r="BB10" cm="1">
        <f t="array" ref="BB10">_xlfn.XLOOKUP(E10,Lookup1!A:A,Lookup1!B:B,"N/F")</f>
        <v>0</v>
      </c>
      <c r="BC10">
        <f>MATCH(E10,Lookup1!A:A,0)</f>
        <v>0</v>
      </c>
      <c r="BD10">
        <f>_xlfn.XMATCH(E10,Lookup1!A:A,0)</f>
        <v>0</v>
      </c>
      <c r="BE10">
        <f>INDEX(Lookup1!B:B,MATCH(E10,Lookup1!A:A,0))</f>
        <v>0</v>
      </c>
      <c r="BF10">
        <f>CHOOSE(2,"alpha","beta","gamma")</f>
        <v>0</v>
      </c>
      <c r="BG10">
        <f>LEFT(F10,3)</f>
        <v>0</v>
      </c>
      <c r="BH10">
        <f>RIGHT(F10,3)</f>
        <v>0</v>
      </c>
      <c r="BI10">
        <f>MID(F10,2,3)</f>
        <v>0</v>
      </c>
      <c r="BJ10">
        <f>LEN(F10)</f>
        <v>0</v>
      </c>
      <c r="BK10">
        <f>UPPER(F10)</f>
        <v>0</v>
      </c>
      <c r="BL10">
        <f>LOWER(F10)</f>
        <v>0</v>
      </c>
      <c r="BM10">
        <f>PROPER(F10)</f>
        <v>0</v>
      </c>
      <c r="BN10">
        <f>TRIM(F10)</f>
        <v>0</v>
      </c>
      <c r="BO10">
        <f>CLEAN(F10)</f>
        <v>0</v>
      </c>
      <c r="BP10">
        <f>_xlfn.CONCAT(E10,"-",F10)</f>
        <v>0</v>
      </c>
      <c r="BQ10">
        <f>CONCATENATE(E10,"-",F10)</f>
        <v>0</v>
      </c>
      <c r="BR10">
        <f>_xlfn.TEXTJOIN("-",TRUE,E10,F10)</f>
        <v>0</v>
      </c>
      <c r="BS10">
        <f>IFERROR(FIND("l",F10),0)</f>
        <v>0</v>
      </c>
      <c r="BT10">
        <f>IFERROR(SEARCH("L",F10),0)</f>
        <v>0</v>
      </c>
      <c r="BU10">
        <f>SUBSTITUTE(F10,"o","0")</f>
        <v>0</v>
      </c>
      <c r="BV10">
        <f>REPLACE(F10,1,1,"X")</f>
        <v>0</v>
      </c>
      <c r="BW10">
        <f>TEXT(C10,"0.00")</f>
        <v>0</v>
      </c>
      <c r="BX10">
        <f>VALUE("123.45")</f>
        <v>0</v>
      </c>
      <c r="BY10">
        <f>EXACT(F10,"hello")</f>
        <v>0</v>
      </c>
      <c r="BZ10">
        <f>ROUND(B10,1)</f>
        <v>0</v>
      </c>
      <c r="CA10">
        <f>ROUNDUP(B10,0)</f>
        <v>0</v>
      </c>
      <c r="CB10">
        <f>ROUNDDOWN(B10,0)</f>
        <v>0</v>
      </c>
      <c r="CC10">
        <f>INT(B10)</f>
        <v>0</v>
      </c>
      <c r="CD10">
        <f>MOD(A10,3)</f>
        <v>0</v>
      </c>
      <c r="CE10">
        <f>ABS(A10)</f>
        <v>0</v>
      </c>
      <c r="CF10">
        <f>SIGN(A10)</f>
        <v>0</v>
      </c>
      <c r="CG10">
        <f>SQRT(ABS(A10))</f>
        <v>0</v>
      </c>
      <c r="CH10">
        <f>POWER(ABS(A10),2)</f>
        <v>0</v>
      </c>
      <c r="CI10">
        <f>CEILING(B10,1)</f>
        <v>0</v>
      </c>
      <c r="CJ10">
        <f>FLOOR(B10,1)</f>
        <v>0</v>
      </c>
      <c r="CK10">
        <f>LN(ABS(A10)+1)</f>
        <v>0</v>
      </c>
      <c r="CL10">
        <f>LOG(ABS(A10)+1,10)</f>
        <v>0</v>
      </c>
      <c r="CM10">
        <f>LOG10(ABS(A10)+1)</f>
        <v>0</v>
      </c>
      <c r="CN10">
        <f>EXP(1)</f>
        <v>0</v>
      </c>
      <c r="CO10">
        <f>SIN(B10)</f>
        <v>0</v>
      </c>
      <c r="CP10">
        <f>COS(B10)</f>
        <v>0</v>
      </c>
      <c r="CQ10">
        <f>TAN(B10)</f>
        <v>0</v>
      </c>
      <c r="CR10">
        <f>ASIN(B10/100)</f>
        <v>0</v>
      </c>
      <c r="CS10">
        <f>ACOS(B10/100)</f>
        <v>0</v>
      </c>
      <c r="CT10">
        <f>ATAN(B10)</f>
        <v>0</v>
      </c>
      <c r="CU10">
        <f>ATAN2(A10,B10)</f>
        <v>0</v>
      </c>
      <c r="CV10">
        <f>PI()</f>
        <v>0</v>
      </c>
      <c r="CW10">
        <f>TODAY()</f>
        <v>0</v>
      </c>
      <c r="CX10">
        <f>NOW()</f>
        <v>0</v>
      </c>
      <c r="CY10">
        <f>DATE(2026,4,20)</f>
        <v>0</v>
      </c>
      <c r="CZ10">
        <f>YEAR(G10)</f>
        <v>0</v>
      </c>
      <c r="DA10">
        <f>MONTH(G10)</f>
        <v>0</v>
      </c>
      <c r="DB10">
        <f>DAY(G10)</f>
        <v>0</v>
      </c>
      <c r="DC10">
        <f>WEEKDAY(G10)</f>
        <v>0</v>
      </c>
      <c r="DD10">
        <f>EDATE(G10,3)</f>
        <v>0</v>
      </c>
      <c r="DE10">
        <f>EOMONTH(G10,0)</f>
        <v>0</v>
      </c>
      <c r="DF10">
        <f>DATEDIF(DATE(2020,1,1),G10,"d")</f>
        <v>0</v>
      </c>
      <c r="DG10">
        <f>NETWORKDAYS(DATE(2026,1,1),DATE(2026,1,31))</f>
        <v>0</v>
      </c>
      <c r="DH10">
        <f>WORKDAY(DATE(2026,1,1),10)</f>
        <v>0</v>
      </c>
      <c r="DI10">
        <f>ISBLANK(H10)</f>
        <v>0</v>
      </c>
      <c r="DJ10">
        <f>ISNUMBER(A10)</f>
        <v>0</v>
      </c>
      <c r="DK10">
        <f>ISTEXT(F10)</f>
        <v>0</v>
      </c>
      <c r="DL10">
        <f>ISLOGICAL(D10)</f>
        <v>0</v>
      </c>
      <c r="DM10">
        <f>ISNONTEXT(A10)</f>
        <v>0</v>
      </c>
      <c r="DN10">
        <f>ISERROR(1/0)</f>
        <v>0</v>
      </c>
      <c r="DO10">
        <f>ISNA(VLOOKUP("ZZZ",Lookup1!A:C,2,FALSE))</f>
        <v>0</v>
      </c>
      <c r="DP10">
        <f>ISREF(A10)</f>
        <v>0</v>
      </c>
      <c r="DQ10">
        <f>NA()</f>
        <v>0</v>
      </c>
      <c r="DR10">
        <f>TYPE(A10)</f>
        <v>0</v>
      </c>
      <c r="DS10">
        <f>PMT(0.05/12,360,-200000)</f>
        <v>0</v>
      </c>
      <c r="DT10">
        <f>PV(0.08/12,120,-500)</f>
        <v>0</v>
      </c>
      <c r="DU10">
        <f>FV(0.06/12,240,-200)</f>
        <v>0</v>
      </c>
      <c r="DV10">
        <f>NPV(0.1,A10,B10,C10)</f>
        <v>0</v>
      </c>
      <c r="DW10">
        <f>RATE(120,-500,50000)</f>
        <v>0</v>
      </c>
    </row>
    <row r="11" spans="1:127">
      <c r="A11">
        <v>42.0</v>
      </c>
      <c r="B11">
        <v>6.7</v>
      </c>
      <c r="C11">
        <v>1200.0</v>
      </c>
      <c r="D11" t="b">
        <v>1</v>
      </c>
      <c r="E11" t="s">
        <v>0</v>
      </c>
      <c r="F11" t="s">
        <v>153</v>
      </c>
      <c r="G11" s="1">
        <v>45500.0</v>
      </c>
      <c r="I11">
        <f>A11+B11</f>
        <v>0</v>
      </c>
      <c r="J11">
        <f>A11-B11</f>
        <v>0</v>
      </c>
      <c r="K11">
        <f>A11*B11</f>
        <v>0</v>
      </c>
      <c r="L11">
        <f>A11/B11</f>
        <v>0</v>
      </c>
      <c r="M11">
        <f>A11^2</f>
        <v>0</v>
      </c>
      <c r="N11">
        <f>E11&amp;F11</f>
        <v>0</v>
      </c>
      <c r="O11">
        <f>C11%</f>
        <v>0</v>
      </c>
      <c r="P11">
        <f>(A11=B11)</f>
        <v>0</v>
      </c>
      <c r="Q11">
        <f>(A11&lt;&gt;B11)</f>
        <v>0</v>
      </c>
      <c r="R11">
        <f>(A11&lt;B11)</f>
        <v>0</v>
      </c>
      <c r="S11">
        <f>(A11&gt;B11)</f>
        <v>0</v>
      </c>
      <c r="T11">
        <f>(A11&lt;=B11)</f>
        <v>0</v>
      </c>
      <c r="U11">
        <f>(A11&gt;=B11)</f>
        <v>0</v>
      </c>
      <c r="V11">
        <f>-A11</f>
        <v>0</v>
      </c>
      <c r="W11">
        <f>+A11</f>
        <v>0</v>
      </c>
      <c r="X11">
        <f>TRUE()</f>
        <v>0</v>
      </c>
      <c r="Y11">
        <f>FALSE()</f>
        <v>0</v>
      </c>
      <c r="Z11">
        <f>IF(A11&gt;50,"high","low")</f>
        <v>0</v>
      </c>
      <c r="AA11">
        <f>_xlfn.IFS(A11&gt;100,"A",A11&gt;50,"B",A11&gt;0,"C",TRUE,"D")</f>
        <v>0</v>
      </c>
      <c r="AB11" cm="1">
        <f t="array" ref="AB11">_xlfn.SWITCH(E11,"EMEA",1,"APAC",2,"AMER",3,0)</f>
        <v>0</v>
      </c>
      <c r="AC11">
        <f>IFERROR(A11/B11,-1)</f>
        <v>0</v>
      </c>
      <c r="AD11">
        <f>_xlfn.IFNA(VLOOKUP(E11,Lookup1!A:C,2,FALSE),"missing")</f>
        <v>0</v>
      </c>
      <c r="AE11">
        <f>AND(A11&gt;0,B11&gt;0)</f>
        <v>0</v>
      </c>
      <c r="AF11">
        <f>OR(A11&gt;100,B11&gt;10)</f>
        <v>0</v>
      </c>
      <c r="AG11">
        <f>NOT(D11)</f>
        <v>0</v>
      </c>
      <c r="AH11">
        <f>_xlfn.XOR(A11&gt;50,B11&gt;5)</f>
        <v>0</v>
      </c>
      <c r="AI11">
        <f>SUM(C:C)</f>
        <v>0</v>
      </c>
      <c r="AJ11">
        <f>SUMIF(AggSource!A:A,"EMEA",AggSource!B:B)</f>
        <v>0</v>
      </c>
      <c r="AK11">
        <f>SUMIFS(AggSource!B:B,AggSource!A:A,"EMEA",AggSource!C:C,"Sales")</f>
        <v>0</v>
      </c>
      <c r="AL11">
        <f>PRODUCT(2,3,4)</f>
        <v>0</v>
      </c>
      <c r="AM11">
        <f>COUNT(C:C)</f>
        <v>0</v>
      </c>
      <c r="AN11">
        <f>COUNTA(H:H)</f>
        <v>0</v>
      </c>
      <c r="AO11">
        <f>COUNTBLANK(H:H)</f>
        <v>0</v>
      </c>
      <c r="AP11">
        <f>COUNTIF(AggSource!A:A,"EMEA")</f>
        <v>0</v>
      </c>
      <c r="AQ11">
        <f>COUNTIFS(AggSource!A:A,"EMEA",AggSource!C:C,"Sales")</f>
        <v>0</v>
      </c>
      <c r="AR11">
        <f>AVERAGE(C:C)</f>
        <v>0</v>
      </c>
      <c r="AS11">
        <f>AVERAGEIF(AggSource!A:A,"APAC",AggSource!B:B)</f>
        <v>0</v>
      </c>
      <c r="AT11">
        <f>AVERAGEIFS(AggSource!B:B,AggSource!A:A,"EMEA",AggSource!C:C,"Sales")</f>
        <v>0</v>
      </c>
      <c r="AU11">
        <f>MIN(C:C)</f>
        <v>0</v>
      </c>
      <c r="AV11">
        <f>MAX(C:C)</f>
        <v>0</v>
      </c>
      <c r="AW11">
        <f>MEDIAN(C:C)</f>
        <v>0</v>
      </c>
      <c r="AX11">
        <f>_xlfn.MINIFS(AggSource!B:B,AggSource!A:A,"EMEA",AggSource!C:C,"Sales")</f>
        <v>0</v>
      </c>
      <c r="AY11">
        <f>_xlfn.MAXIFS(AggSource!B:B,AggSource!A:A,"EMEA",AggSource!C:C,"Sales")</f>
        <v>0</v>
      </c>
      <c r="AZ11">
        <f>VLOOKUP(E11,Lookup1!A:C,2,FALSE)</f>
        <v>0</v>
      </c>
      <c r="BA11">
        <f>HLOOKUP("Q2",HLookup!A1:D3,2,FALSE)</f>
        <v>0</v>
      </c>
      <c r="BB11" cm="1">
        <f t="array" ref="BB11">_xlfn.XLOOKUP(E11,Lookup1!A:A,Lookup1!B:B,"N/F")</f>
        <v>0</v>
      </c>
      <c r="BC11">
        <f>MATCH(E11,Lookup1!A:A,0)</f>
        <v>0</v>
      </c>
      <c r="BD11">
        <f>_xlfn.XMATCH(E11,Lookup1!A:A,0)</f>
        <v>0</v>
      </c>
      <c r="BE11">
        <f>INDEX(Lookup1!B:B,MATCH(E11,Lookup1!A:A,0))</f>
        <v>0</v>
      </c>
      <c r="BF11">
        <f>CHOOSE(2,"alpha","beta","gamma")</f>
        <v>0</v>
      </c>
      <c r="BG11">
        <f>LEFT(F11,3)</f>
        <v>0</v>
      </c>
      <c r="BH11">
        <f>RIGHT(F11,3)</f>
        <v>0</v>
      </c>
      <c r="BI11">
        <f>MID(F11,2,3)</f>
        <v>0</v>
      </c>
      <c r="BJ11">
        <f>LEN(F11)</f>
        <v>0</v>
      </c>
      <c r="BK11">
        <f>UPPER(F11)</f>
        <v>0</v>
      </c>
      <c r="BL11">
        <f>LOWER(F11)</f>
        <v>0</v>
      </c>
      <c r="BM11">
        <f>PROPER(F11)</f>
        <v>0</v>
      </c>
      <c r="BN11">
        <f>TRIM(F11)</f>
        <v>0</v>
      </c>
      <c r="BO11">
        <f>CLEAN(F11)</f>
        <v>0</v>
      </c>
      <c r="BP11">
        <f>_xlfn.CONCAT(E11,"-",F11)</f>
        <v>0</v>
      </c>
      <c r="BQ11">
        <f>CONCATENATE(E11,"-",F11)</f>
        <v>0</v>
      </c>
      <c r="BR11">
        <f>_xlfn.TEXTJOIN("-",TRUE,E11,F11)</f>
        <v>0</v>
      </c>
      <c r="BS11">
        <f>IFERROR(FIND("l",F11),0)</f>
        <v>0</v>
      </c>
      <c r="BT11">
        <f>IFERROR(SEARCH("L",F11),0)</f>
        <v>0</v>
      </c>
      <c r="BU11">
        <f>SUBSTITUTE(F11,"o","0")</f>
        <v>0</v>
      </c>
      <c r="BV11">
        <f>REPLACE(F11,1,1,"X")</f>
        <v>0</v>
      </c>
      <c r="BW11">
        <f>TEXT(C11,"0.00")</f>
        <v>0</v>
      </c>
      <c r="BX11">
        <f>VALUE("123.45")</f>
        <v>0</v>
      </c>
      <c r="BY11">
        <f>EXACT(F11,"hello")</f>
        <v>0</v>
      </c>
      <c r="BZ11">
        <f>ROUND(B11,1)</f>
        <v>0</v>
      </c>
      <c r="CA11">
        <f>ROUNDUP(B11,0)</f>
        <v>0</v>
      </c>
      <c r="CB11">
        <f>ROUNDDOWN(B11,0)</f>
        <v>0</v>
      </c>
      <c r="CC11">
        <f>INT(B11)</f>
        <v>0</v>
      </c>
      <c r="CD11">
        <f>MOD(A11,3)</f>
        <v>0</v>
      </c>
      <c r="CE11">
        <f>ABS(A11)</f>
        <v>0</v>
      </c>
      <c r="CF11">
        <f>SIGN(A11)</f>
        <v>0</v>
      </c>
      <c r="CG11">
        <f>SQRT(ABS(A11))</f>
        <v>0</v>
      </c>
      <c r="CH11">
        <f>POWER(ABS(A11),2)</f>
        <v>0</v>
      </c>
      <c r="CI11">
        <f>CEILING(B11,1)</f>
        <v>0</v>
      </c>
      <c r="CJ11">
        <f>FLOOR(B11,1)</f>
        <v>0</v>
      </c>
      <c r="CK11">
        <f>LN(ABS(A11)+1)</f>
        <v>0</v>
      </c>
      <c r="CL11">
        <f>LOG(ABS(A11)+1,10)</f>
        <v>0</v>
      </c>
      <c r="CM11">
        <f>LOG10(ABS(A11)+1)</f>
        <v>0</v>
      </c>
      <c r="CN11">
        <f>EXP(1)</f>
        <v>0</v>
      </c>
      <c r="CO11">
        <f>SIN(B11)</f>
        <v>0</v>
      </c>
      <c r="CP11">
        <f>COS(B11)</f>
        <v>0</v>
      </c>
      <c r="CQ11">
        <f>TAN(B11)</f>
        <v>0</v>
      </c>
      <c r="CR11">
        <f>ASIN(B11/100)</f>
        <v>0</v>
      </c>
      <c r="CS11">
        <f>ACOS(B11/100)</f>
        <v>0</v>
      </c>
      <c r="CT11">
        <f>ATAN(B11)</f>
        <v>0</v>
      </c>
      <c r="CU11">
        <f>ATAN2(A11,B11)</f>
        <v>0</v>
      </c>
      <c r="CV11">
        <f>PI()</f>
        <v>0</v>
      </c>
      <c r="CW11">
        <f>TODAY()</f>
        <v>0</v>
      </c>
      <c r="CX11">
        <f>NOW()</f>
        <v>0</v>
      </c>
      <c r="CY11">
        <f>DATE(2026,4,20)</f>
        <v>0</v>
      </c>
      <c r="CZ11">
        <f>YEAR(G11)</f>
        <v>0</v>
      </c>
      <c r="DA11">
        <f>MONTH(G11)</f>
        <v>0</v>
      </c>
      <c r="DB11">
        <f>DAY(G11)</f>
        <v>0</v>
      </c>
      <c r="DC11">
        <f>WEEKDAY(G11)</f>
        <v>0</v>
      </c>
      <c r="DD11">
        <f>EDATE(G11,3)</f>
        <v>0</v>
      </c>
      <c r="DE11">
        <f>EOMONTH(G11,0)</f>
        <v>0</v>
      </c>
      <c r="DF11">
        <f>DATEDIF(DATE(2020,1,1),G11,"d")</f>
        <v>0</v>
      </c>
      <c r="DG11">
        <f>NETWORKDAYS(DATE(2026,1,1),DATE(2026,1,31))</f>
        <v>0</v>
      </c>
      <c r="DH11">
        <f>WORKDAY(DATE(2026,1,1),10)</f>
        <v>0</v>
      </c>
      <c r="DI11">
        <f>ISBLANK(H11)</f>
        <v>0</v>
      </c>
      <c r="DJ11">
        <f>ISNUMBER(A11)</f>
        <v>0</v>
      </c>
      <c r="DK11">
        <f>ISTEXT(F11)</f>
        <v>0</v>
      </c>
      <c r="DL11">
        <f>ISLOGICAL(D11)</f>
        <v>0</v>
      </c>
      <c r="DM11">
        <f>ISNONTEXT(A11)</f>
        <v>0</v>
      </c>
      <c r="DN11">
        <f>ISERROR(1/0)</f>
        <v>0</v>
      </c>
      <c r="DO11">
        <f>ISNA(VLOOKUP("ZZZ",Lookup1!A:C,2,FALSE))</f>
        <v>0</v>
      </c>
      <c r="DP11">
        <f>ISREF(A11)</f>
        <v>0</v>
      </c>
      <c r="DQ11">
        <f>NA()</f>
        <v>0</v>
      </c>
      <c r="DR11">
        <f>TYPE(A11)</f>
        <v>0</v>
      </c>
      <c r="DS11">
        <f>PMT(0.05/12,360,-200000)</f>
        <v>0</v>
      </c>
      <c r="DT11">
        <f>PV(0.08/12,120,-500)</f>
        <v>0</v>
      </c>
      <c r="DU11">
        <f>FV(0.06/12,240,-200)</f>
        <v>0</v>
      </c>
      <c r="DV11">
        <f>NPV(0.1,A11,B11,C11)</f>
        <v>0</v>
      </c>
      <c r="DW11">
        <f>RATE(120,-500,50000)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Lookup1</vt:lpstr>
      <vt:lpstr>HLookup</vt:lpstr>
      <vt:lpstr>AggSource</vt:lpstr>
      <vt:lpstr>Holidays</vt:lpstr>
      <vt:lpstr>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2026-04-25T00:20:02Z</dcterms:created>
  <dcterms:modified xsi:type="dcterms:W3CDTF">2026-04-25T00:20:02Z</dcterms:modified>
</cp:coreProperties>
</file>